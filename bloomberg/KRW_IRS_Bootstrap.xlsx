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  <sheet xmlns:r="http://schemas.openxmlformats.org/officeDocument/2006/relationships" name="Interpolation" sheetId="2" state="visible" r:id="rId2"/>
    <sheet xmlns:r="http://schemas.openxmlformats.org/officeDocument/2006/relationships" name="Bootstr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00000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color rgb="00808080"/>
      <sz val="9"/>
    </font>
    <font>
      <name val="Calibri"/>
      <b val="1"/>
      <sz val="11"/>
    </font>
    <font>
      <name val="Calibri"/>
      <color rgb="000000FF"/>
      <sz val="11"/>
    </font>
    <font>
      <name val="Calibri"/>
      <b val="1"/>
      <color rgb="00FFFFFF"/>
      <sz val="10"/>
    </font>
    <font>
      <name val="Calibri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pivotButton="0" quotePrefix="0" xfId="0"/>
    <xf numFmtId="0" fontId="0" fillId="0" borderId="1" pivotButton="0" quotePrefix="0" xfId="0"/>
    <xf numFmtId="2" fontId="0" fillId="0" borderId="1" pivotButton="0" quotePrefix="0" xfId="0"/>
    <xf numFmtId="164" fontId="4" fillId="2" borderId="1" pivotButton="0" quotePrefix="0" xfId="0"/>
    <xf numFmtId="0" fontId="5" fillId="3" borderId="1" applyAlignment="1" pivotButton="0" quotePrefix="0" xfId="0">
      <alignment horizontal="center" wrapText="1"/>
    </xf>
    <xf numFmtId="165" fontId="0" fillId="0" borderId="1" pivotButton="0" quotePrefix="0" xfId="0"/>
    <xf numFmtId="164" fontId="6" fillId="4" borderId="1" pivotButton="0" quotePrefix="0" xfId="0"/>
    <xf numFmtId="164" fontId="0" fillId="0" borderId="1" pivotButton="0" quotePrefix="0" xfId="0"/>
    <xf numFmtId="166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s="1" t="inlineStr">
        <is>
          <t>KRW IRS — quotes</t>
        </is>
      </c>
    </row>
    <row r="2">
      <c r="A2" s="2" t="inlineStr">
        <is>
          <t>Quarterly fixing/payment, tau = 0.25 (simplified). 3m is the fixing and IS the zero rate.</t>
        </is>
      </c>
      <c r="D2" s="3" t="inlineStr">
        <is>
          <t>tau</t>
        </is>
      </c>
      <c r="E2" s="4" t="n">
        <v>0.25</v>
      </c>
    </row>
    <row r="4">
      <c r="A4" s="5" t="inlineStr">
        <is>
          <t>Tenor</t>
        </is>
      </c>
      <c r="B4" s="5" t="inlineStr">
        <is>
          <t>Year</t>
        </is>
      </c>
      <c r="C4" s="5" t="inlineStr">
        <is>
          <t>Swap rate %</t>
        </is>
      </c>
    </row>
    <row r="5">
      <c r="A5" s="6" t="inlineStr">
        <is>
          <t>3m</t>
        </is>
      </c>
      <c r="B5" s="7" t="n">
        <v>0.25</v>
      </c>
      <c r="C5" s="8" t="n">
        <v>2.91</v>
      </c>
    </row>
    <row r="6">
      <c r="A6" s="6" t="inlineStr">
        <is>
          <t>6m</t>
        </is>
      </c>
      <c r="B6" s="7" t="n">
        <v>0.5</v>
      </c>
      <c r="C6" s="8" t="n">
        <v>3.125</v>
      </c>
    </row>
    <row r="7">
      <c r="A7" s="6" t="inlineStr">
        <is>
          <t>9m</t>
        </is>
      </c>
      <c r="B7" s="7" t="n">
        <v>0.75</v>
      </c>
      <c r="C7" s="8" t="n">
        <v>3.315</v>
      </c>
    </row>
    <row r="8">
      <c r="A8" s="6" t="inlineStr">
        <is>
          <t>1Y</t>
        </is>
      </c>
      <c r="B8" s="7" t="n">
        <v>1</v>
      </c>
      <c r="C8" s="8" t="n">
        <v>3.4675</v>
      </c>
    </row>
    <row r="9">
      <c r="A9" s="6" t="inlineStr">
        <is>
          <t>2Y</t>
        </is>
      </c>
      <c r="B9" s="7" t="n">
        <v>2</v>
      </c>
      <c r="C9" s="8" t="n">
        <v>3.825</v>
      </c>
    </row>
    <row r="10">
      <c r="A10" s="6" t="inlineStr">
        <is>
          <t>3Y</t>
        </is>
      </c>
      <c r="B10" s="7" t="n">
        <v>3</v>
      </c>
      <c r="C10" s="8" t="n">
        <v>3.965</v>
      </c>
    </row>
    <row r="11">
      <c r="A11" s="6" t="inlineStr">
        <is>
          <t>4Y</t>
        </is>
      </c>
      <c r="B11" s="7" t="n">
        <v>4</v>
      </c>
      <c r="C11" s="8" t="n">
        <v>4.029</v>
      </c>
    </row>
    <row r="12">
      <c r="A12" s="6" t="inlineStr">
        <is>
          <t>5Y</t>
        </is>
      </c>
      <c r="B12" s="7" t="n">
        <v>5</v>
      </c>
      <c r="C12" s="8" t="n">
        <v>4.0775</v>
      </c>
    </row>
    <row r="13">
      <c r="A13" s="6" t="inlineStr">
        <is>
          <t>7Y</t>
        </is>
      </c>
      <c r="B13" s="7" t="n">
        <v>7</v>
      </c>
      <c r="C13" s="8" t="n">
        <v>4.1425</v>
      </c>
    </row>
    <row r="14">
      <c r="A14" s="6" t="inlineStr">
        <is>
          <t>8Y</t>
        </is>
      </c>
      <c r="B14" s="7" t="n">
        <v>8</v>
      </c>
      <c r="C14" s="8" t="n">
        <v>4.165</v>
      </c>
    </row>
    <row r="15">
      <c r="A15" s="6" t="inlineStr">
        <is>
          <t>9Y</t>
        </is>
      </c>
      <c r="B15" s="7" t="n">
        <v>9</v>
      </c>
      <c r="C15" s="8" t="n">
        <v>4.185</v>
      </c>
    </row>
    <row r="16">
      <c r="A16" s="6" t="inlineStr">
        <is>
          <t>10Y</t>
        </is>
      </c>
      <c r="B16" s="7" t="n">
        <v>10</v>
      </c>
      <c r="C16" s="8" t="n">
        <v>4.2</v>
      </c>
    </row>
    <row r="17">
      <c r="A17" s="6" t="inlineStr">
        <is>
          <t>15Y</t>
        </is>
      </c>
      <c r="B17" s="7" t="n">
        <v>15</v>
      </c>
      <c r="C17" s="8" t="n">
        <v>4.1775</v>
      </c>
    </row>
    <row r="18">
      <c r="A18" s="6" t="inlineStr">
        <is>
          <t>20Y</t>
        </is>
      </c>
      <c r="B18" s="7" t="n">
        <v>20</v>
      </c>
      <c r="C18" s="8" t="n">
        <v>4.075</v>
      </c>
    </row>
    <row r="19">
      <c r="A19" s="6" t="inlineStr">
        <is>
          <t>30Y</t>
        </is>
      </c>
      <c r="B19" s="7" t="n">
        <v>30</v>
      </c>
      <c r="C19" s="8" t="n">
        <v>3.845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11" customWidth="1" min="4" max="4"/>
    <col width="9" customWidth="1" min="5" max="5"/>
    <col width="20" customWidth="1" min="6" max="6"/>
    <col width="8" customWidth="1" min="7" max="7"/>
  </cols>
  <sheetData>
    <row r="1">
      <c r="A1" s="1" t="inlineStr">
        <is>
          <t>Interpolate the swap rate onto every quarter</t>
        </is>
      </c>
    </row>
    <row r="2">
      <c r="A2" s="2" t="inlineStr">
        <is>
          <t>Each quarter's rate is linear in time between the two bracketing quotes. A quoted tenor keeps its own rate (weight 0). This is what fills the big gaps — 20Y to 30Y is 40 of these rows.</t>
        </is>
      </c>
    </row>
    <row r="4">
      <c r="A4" s="9" t="inlineStr">
        <is>
          <t>Node</t>
        </is>
      </c>
      <c r="B4" s="9" t="inlineStr">
        <is>
          <t>Year</t>
        </is>
      </c>
      <c r="C4" s="9" t="inlineStr">
        <is>
          <t>lo tenor yr</t>
        </is>
      </c>
      <c r="D4" s="9" t="inlineStr">
        <is>
          <t>hi tenor yr</t>
        </is>
      </c>
      <c r="E4" s="9" t="inlineStr">
        <is>
          <t>weight</t>
        </is>
      </c>
      <c r="F4" s="9" t="inlineStr">
        <is>
          <t>Swap rate % (interp)</t>
        </is>
      </c>
      <c r="G4" s="9" t="inlineStr">
        <is>
          <t>source</t>
        </is>
      </c>
    </row>
    <row r="5">
      <c r="A5" s="6" t="n">
        <v>1</v>
      </c>
      <c r="B5" s="7" t="n">
        <v>0.25</v>
      </c>
      <c r="C5" s="7">
        <f>INDEX(Quotes!$B$5:$B$19,MATCH($B5,Quotes!$B$5:$B$19,1))</f>
        <v/>
      </c>
      <c r="D5" s="7">
        <f>INDEX(Quotes!$B$5:$B$19,MIN(MATCH($B5,Quotes!$B$5:$B$19,1)+1,15))</f>
        <v/>
      </c>
      <c r="E5" s="10">
        <f>IF($D5=$C5,0,($B5-$C5)/($D5-$C5))</f>
        <v/>
      </c>
      <c r="F5" s="11">
        <f>INDEX(Quotes!$C$5:$C$19,MATCH($B5,Quotes!$B$5:$B$19,1))+$E5*(INDEX(Quotes!$C$5:$C$19,MIN(MATCH($B5,Quotes!$B$5:$B$19,1)+1,15))-INDEX(Quotes!$C$5:$C$19,MATCH($B5,Quotes!$B$5:$B$19,1)))</f>
        <v/>
      </c>
      <c r="G5" s="6">
        <f>IF(COUNTIF(Quotes!$B$5:$B$19,$B5)&gt;0,"quote","interp")</f>
        <v/>
      </c>
    </row>
    <row r="6">
      <c r="A6" s="6" t="n">
        <v>2</v>
      </c>
      <c r="B6" s="7" t="n">
        <v>0.5</v>
      </c>
      <c r="C6" s="7">
        <f>INDEX(Quotes!$B$5:$B$19,MATCH($B6,Quotes!$B$5:$B$19,1))</f>
        <v/>
      </c>
      <c r="D6" s="7">
        <f>INDEX(Quotes!$B$5:$B$19,MIN(MATCH($B6,Quotes!$B$5:$B$19,1)+1,15))</f>
        <v/>
      </c>
      <c r="E6" s="10">
        <f>IF($D6=$C6,0,($B6-$C6)/($D6-$C6))</f>
        <v/>
      </c>
      <c r="F6" s="11">
        <f>INDEX(Quotes!$C$5:$C$19,MATCH($B6,Quotes!$B$5:$B$19,1))+$E6*(INDEX(Quotes!$C$5:$C$19,MIN(MATCH($B6,Quotes!$B$5:$B$19,1)+1,15))-INDEX(Quotes!$C$5:$C$19,MATCH($B6,Quotes!$B$5:$B$19,1)))</f>
        <v/>
      </c>
      <c r="G6" s="6">
        <f>IF(COUNTIF(Quotes!$B$5:$B$19,$B6)&gt;0,"quote","interp")</f>
        <v/>
      </c>
    </row>
    <row r="7">
      <c r="A7" s="6" t="n">
        <v>3</v>
      </c>
      <c r="B7" s="7" t="n">
        <v>0.75</v>
      </c>
      <c r="C7" s="7">
        <f>INDEX(Quotes!$B$5:$B$19,MATCH($B7,Quotes!$B$5:$B$19,1))</f>
        <v/>
      </c>
      <c r="D7" s="7">
        <f>INDEX(Quotes!$B$5:$B$19,MIN(MATCH($B7,Quotes!$B$5:$B$19,1)+1,15))</f>
        <v/>
      </c>
      <c r="E7" s="10">
        <f>IF($D7=$C7,0,($B7-$C7)/($D7-$C7))</f>
        <v/>
      </c>
      <c r="F7" s="11">
        <f>INDEX(Quotes!$C$5:$C$19,MATCH($B7,Quotes!$B$5:$B$19,1))+$E7*(INDEX(Quotes!$C$5:$C$19,MIN(MATCH($B7,Quotes!$B$5:$B$19,1)+1,15))-INDEX(Quotes!$C$5:$C$19,MATCH($B7,Quotes!$B$5:$B$19,1)))</f>
        <v/>
      </c>
      <c r="G7" s="6">
        <f>IF(COUNTIF(Quotes!$B$5:$B$19,$B7)&gt;0,"quote","interp")</f>
        <v/>
      </c>
    </row>
    <row r="8">
      <c r="A8" s="6" t="n">
        <v>4</v>
      </c>
      <c r="B8" s="7" t="n">
        <v>1</v>
      </c>
      <c r="C8" s="7">
        <f>INDEX(Quotes!$B$5:$B$19,MATCH($B8,Quotes!$B$5:$B$19,1))</f>
        <v/>
      </c>
      <c r="D8" s="7">
        <f>INDEX(Quotes!$B$5:$B$19,MIN(MATCH($B8,Quotes!$B$5:$B$19,1)+1,15))</f>
        <v/>
      </c>
      <c r="E8" s="10">
        <f>IF($D8=$C8,0,($B8-$C8)/($D8-$C8))</f>
        <v/>
      </c>
      <c r="F8" s="11">
        <f>INDEX(Quotes!$C$5:$C$19,MATCH($B8,Quotes!$B$5:$B$19,1))+$E8*(INDEX(Quotes!$C$5:$C$19,MIN(MATCH($B8,Quotes!$B$5:$B$19,1)+1,15))-INDEX(Quotes!$C$5:$C$19,MATCH($B8,Quotes!$B$5:$B$19,1)))</f>
        <v/>
      </c>
      <c r="G8" s="6">
        <f>IF(COUNTIF(Quotes!$B$5:$B$19,$B8)&gt;0,"quote","interp")</f>
        <v/>
      </c>
    </row>
    <row r="9">
      <c r="A9" s="6" t="n">
        <v>5</v>
      </c>
      <c r="B9" s="7" t="n">
        <v>1.25</v>
      </c>
      <c r="C9" s="7">
        <f>INDEX(Quotes!$B$5:$B$19,MATCH($B9,Quotes!$B$5:$B$19,1))</f>
        <v/>
      </c>
      <c r="D9" s="7">
        <f>INDEX(Quotes!$B$5:$B$19,MIN(MATCH($B9,Quotes!$B$5:$B$19,1)+1,15))</f>
        <v/>
      </c>
      <c r="E9" s="10">
        <f>IF($D9=$C9,0,($B9-$C9)/($D9-$C9))</f>
        <v/>
      </c>
      <c r="F9" s="11">
        <f>INDEX(Quotes!$C$5:$C$19,MATCH($B9,Quotes!$B$5:$B$19,1))+$E9*(INDEX(Quotes!$C$5:$C$19,MIN(MATCH($B9,Quotes!$B$5:$B$19,1)+1,15))-INDEX(Quotes!$C$5:$C$19,MATCH($B9,Quotes!$B$5:$B$19,1)))</f>
        <v/>
      </c>
      <c r="G9" s="6">
        <f>IF(COUNTIF(Quotes!$B$5:$B$19,$B9)&gt;0,"quote","interp")</f>
        <v/>
      </c>
    </row>
    <row r="10">
      <c r="A10" s="6" t="n">
        <v>6</v>
      </c>
      <c r="B10" s="7" t="n">
        <v>1.5</v>
      </c>
      <c r="C10" s="7">
        <f>INDEX(Quotes!$B$5:$B$19,MATCH($B10,Quotes!$B$5:$B$19,1))</f>
        <v/>
      </c>
      <c r="D10" s="7">
        <f>INDEX(Quotes!$B$5:$B$19,MIN(MATCH($B10,Quotes!$B$5:$B$19,1)+1,15))</f>
        <v/>
      </c>
      <c r="E10" s="10">
        <f>IF($D10=$C10,0,($B10-$C10)/($D10-$C10))</f>
        <v/>
      </c>
      <c r="F10" s="11">
        <f>INDEX(Quotes!$C$5:$C$19,MATCH($B10,Quotes!$B$5:$B$19,1))+$E10*(INDEX(Quotes!$C$5:$C$19,MIN(MATCH($B10,Quotes!$B$5:$B$19,1)+1,15))-INDEX(Quotes!$C$5:$C$19,MATCH($B10,Quotes!$B$5:$B$19,1)))</f>
        <v/>
      </c>
      <c r="G10" s="6">
        <f>IF(COUNTIF(Quotes!$B$5:$B$19,$B10)&gt;0,"quote","interp")</f>
        <v/>
      </c>
    </row>
    <row r="11">
      <c r="A11" s="6" t="n">
        <v>7</v>
      </c>
      <c r="B11" s="7" t="n">
        <v>1.75</v>
      </c>
      <c r="C11" s="7">
        <f>INDEX(Quotes!$B$5:$B$19,MATCH($B11,Quotes!$B$5:$B$19,1))</f>
        <v/>
      </c>
      <c r="D11" s="7">
        <f>INDEX(Quotes!$B$5:$B$19,MIN(MATCH($B11,Quotes!$B$5:$B$19,1)+1,15))</f>
        <v/>
      </c>
      <c r="E11" s="10">
        <f>IF($D11=$C11,0,($B11-$C11)/($D11-$C11))</f>
        <v/>
      </c>
      <c r="F11" s="11">
        <f>INDEX(Quotes!$C$5:$C$19,MATCH($B11,Quotes!$B$5:$B$19,1))+$E11*(INDEX(Quotes!$C$5:$C$19,MIN(MATCH($B11,Quotes!$B$5:$B$19,1)+1,15))-INDEX(Quotes!$C$5:$C$19,MATCH($B11,Quotes!$B$5:$B$19,1)))</f>
        <v/>
      </c>
      <c r="G11" s="6">
        <f>IF(COUNTIF(Quotes!$B$5:$B$19,$B11)&gt;0,"quote","interp")</f>
        <v/>
      </c>
    </row>
    <row r="12">
      <c r="A12" s="6" t="n">
        <v>8</v>
      </c>
      <c r="B12" s="7" t="n">
        <v>2</v>
      </c>
      <c r="C12" s="7">
        <f>INDEX(Quotes!$B$5:$B$19,MATCH($B12,Quotes!$B$5:$B$19,1))</f>
        <v/>
      </c>
      <c r="D12" s="7">
        <f>INDEX(Quotes!$B$5:$B$19,MIN(MATCH($B12,Quotes!$B$5:$B$19,1)+1,15))</f>
        <v/>
      </c>
      <c r="E12" s="10">
        <f>IF($D12=$C12,0,($B12-$C12)/($D12-$C12))</f>
        <v/>
      </c>
      <c r="F12" s="11">
        <f>INDEX(Quotes!$C$5:$C$19,MATCH($B12,Quotes!$B$5:$B$19,1))+$E12*(INDEX(Quotes!$C$5:$C$19,MIN(MATCH($B12,Quotes!$B$5:$B$19,1)+1,15))-INDEX(Quotes!$C$5:$C$19,MATCH($B12,Quotes!$B$5:$B$19,1)))</f>
        <v/>
      </c>
      <c r="G12" s="6">
        <f>IF(COUNTIF(Quotes!$B$5:$B$19,$B12)&gt;0,"quote","interp")</f>
        <v/>
      </c>
    </row>
    <row r="13">
      <c r="A13" s="6" t="n">
        <v>9</v>
      </c>
      <c r="B13" s="7" t="n">
        <v>2.25</v>
      </c>
      <c r="C13" s="7">
        <f>INDEX(Quotes!$B$5:$B$19,MATCH($B13,Quotes!$B$5:$B$19,1))</f>
        <v/>
      </c>
      <c r="D13" s="7">
        <f>INDEX(Quotes!$B$5:$B$19,MIN(MATCH($B13,Quotes!$B$5:$B$19,1)+1,15))</f>
        <v/>
      </c>
      <c r="E13" s="10">
        <f>IF($D13=$C13,0,($B13-$C13)/($D13-$C13))</f>
        <v/>
      </c>
      <c r="F13" s="11">
        <f>INDEX(Quotes!$C$5:$C$19,MATCH($B13,Quotes!$B$5:$B$19,1))+$E13*(INDEX(Quotes!$C$5:$C$19,MIN(MATCH($B13,Quotes!$B$5:$B$19,1)+1,15))-INDEX(Quotes!$C$5:$C$19,MATCH($B13,Quotes!$B$5:$B$19,1)))</f>
        <v/>
      </c>
      <c r="G13" s="6">
        <f>IF(COUNTIF(Quotes!$B$5:$B$19,$B13)&gt;0,"quote","interp")</f>
        <v/>
      </c>
    </row>
    <row r="14">
      <c r="A14" s="6" t="n">
        <v>10</v>
      </c>
      <c r="B14" s="7" t="n">
        <v>2.5</v>
      </c>
      <c r="C14" s="7">
        <f>INDEX(Quotes!$B$5:$B$19,MATCH($B14,Quotes!$B$5:$B$19,1))</f>
        <v/>
      </c>
      <c r="D14" s="7">
        <f>INDEX(Quotes!$B$5:$B$19,MIN(MATCH($B14,Quotes!$B$5:$B$19,1)+1,15))</f>
        <v/>
      </c>
      <c r="E14" s="10">
        <f>IF($D14=$C14,0,($B14-$C14)/($D14-$C14))</f>
        <v/>
      </c>
      <c r="F14" s="11">
        <f>INDEX(Quotes!$C$5:$C$19,MATCH($B14,Quotes!$B$5:$B$19,1))+$E14*(INDEX(Quotes!$C$5:$C$19,MIN(MATCH($B14,Quotes!$B$5:$B$19,1)+1,15))-INDEX(Quotes!$C$5:$C$19,MATCH($B14,Quotes!$B$5:$B$19,1)))</f>
        <v/>
      </c>
      <c r="G14" s="6">
        <f>IF(COUNTIF(Quotes!$B$5:$B$19,$B14)&gt;0,"quote","interp")</f>
        <v/>
      </c>
    </row>
    <row r="15">
      <c r="A15" s="6" t="n">
        <v>11</v>
      </c>
      <c r="B15" s="7" t="n">
        <v>2.75</v>
      </c>
      <c r="C15" s="7">
        <f>INDEX(Quotes!$B$5:$B$19,MATCH($B15,Quotes!$B$5:$B$19,1))</f>
        <v/>
      </c>
      <c r="D15" s="7">
        <f>INDEX(Quotes!$B$5:$B$19,MIN(MATCH($B15,Quotes!$B$5:$B$19,1)+1,15))</f>
        <v/>
      </c>
      <c r="E15" s="10">
        <f>IF($D15=$C15,0,($B15-$C15)/($D15-$C15))</f>
        <v/>
      </c>
      <c r="F15" s="11">
        <f>INDEX(Quotes!$C$5:$C$19,MATCH($B15,Quotes!$B$5:$B$19,1))+$E15*(INDEX(Quotes!$C$5:$C$19,MIN(MATCH($B15,Quotes!$B$5:$B$19,1)+1,15))-INDEX(Quotes!$C$5:$C$19,MATCH($B15,Quotes!$B$5:$B$19,1)))</f>
        <v/>
      </c>
      <c r="G15" s="6">
        <f>IF(COUNTIF(Quotes!$B$5:$B$19,$B15)&gt;0,"quote","interp")</f>
        <v/>
      </c>
    </row>
    <row r="16">
      <c r="A16" s="6" t="n">
        <v>12</v>
      </c>
      <c r="B16" s="7" t="n">
        <v>3</v>
      </c>
      <c r="C16" s="7">
        <f>INDEX(Quotes!$B$5:$B$19,MATCH($B16,Quotes!$B$5:$B$19,1))</f>
        <v/>
      </c>
      <c r="D16" s="7">
        <f>INDEX(Quotes!$B$5:$B$19,MIN(MATCH($B16,Quotes!$B$5:$B$19,1)+1,15))</f>
        <v/>
      </c>
      <c r="E16" s="10">
        <f>IF($D16=$C16,0,($B16-$C16)/($D16-$C16))</f>
        <v/>
      </c>
      <c r="F16" s="11">
        <f>INDEX(Quotes!$C$5:$C$19,MATCH($B16,Quotes!$B$5:$B$19,1))+$E16*(INDEX(Quotes!$C$5:$C$19,MIN(MATCH($B16,Quotes!$B$5:$B$19,1)+1,15))-INDEX(Quotes!$C$5:$C$19,MATCH($B16,Quotes!$B$5:$B$19,1)))</f>
        <v/>
      </c>
      <c r="G16" s="6">
        <f>IF(COUNTIF(Quotes!$B$5:$B$19,$B16)&gt;0,"quote","interp")</f>
        <v/>
      </c>
    </row>
    <row r="17">
      <c r="A17" s="6" t="n">
        <v>13</v>
      </c>
      <c r="B17" s="7" t="n">
        <v>3.25</v>
      </c>
      <c r="C17" s="7">
        <f>INDEX(Quotes!$B$5:$B$19,MATCH($B17,Quotes!$B$5:$B$19,1))</f>
        <v/>
      </c>
      <c r="D17" s="7">
        <f>INDEX(Quotes!$B$5:$B$19,MIN(MATCH($B17,Quotes!$B$5:$B$19,1)+1,15))</f>
        <v/>
      </c>
      <c r="E17" s="10">
        <f>IF($D17=$C17,0,($B17-$C17)/($D17-$C17))</f>
        <v/>
      </c>
      <c r="F17" s="11">
        <f>INDEX(Quotes!$C$5:$C$19,MATCH($B17,Quotes!$B$5:$B$19,1))+$E17*(INDEX(Quotes!$C$5:$C$19,MIN(MATCH($B17,Quotes!$B$5:$B$19,1)+1,15))-INDEX(Quotes!$C$5:$C$19,MATCH($B17,Quotes!$B$5:$B$19,1)))</f>
        <v/>
      </c>
      <c r="G17" s="6">
        <f>IF(COUNTIF(Quotes!$B$5:$B$19,$B17)&gt;0,"quote","interp")</f>
        <v/>
      </c>
    </row>
    <row r="18">
      <c r="A18" s="6" t="n">
        <v>14</v>
      </c>
      <c r="B18" s="7" t="n">
        <v>3.5</v>
      </c>
      <c r="C18" s="7">
        <f>INDEX(Quotes!$B$5:$B$19,MATCH($B18,Quotes!$B$5:$B$19,1))</f>
        <v/>
      </c>
      <c r="D18" s="7">
        <f>INDEX(Quotes!$B$5:$B$19,MIN(MATCH($B18,Quotes!$B$5:$B$19,1)+1,15))</f>
        <v/>
      </c>
      <c r="E18" s="10">
        <f>IF($D18=$C18,0,($B18-$C18)/($D18-$C18))</f>
        <v/>
      </c>
      <c r="F18" s="11">
        <f>INDEX(Quotes!$C$5:$C$19,MATCH($B18,Quotes!$B$5:$B$19,1))+$E18*(INDEX(Quotes!$C$5:$C$19,MIN(MATCH($B18,Quotes!$B$5:$B$19,1)+1,15))-INDEX(Quotes!$C$5:$C$19,MATCH($B18,Quotes!$B$5:$B$19,1)))</f>
        <v/>
      </c>
      <c r="G18" s="6">
        <f>IF(COUNTIF(Quotes!$B$5:$B$19,$B18)&gt;0,"quote","interp")</f>
        <v/>
      </c>
    </row>
    <row r="19">
      <c r="A19" s="6" t="n">
        <v>15</v>
      </c>
      <c r="B19" s="7" t="n">
        <v>3.75</v>
      </c>
      <c r="C19" s="7">
        <f>INDEX(Quotes!$B$5:$B$19,MATCH($B19,Quotes!$B$5:$B$19,1))</f>
        <v/>
      </c>
      <c r="D19" s="7">
        <f>INDEX(Quotes!$B$5:$B$19,MIN(MATCH($B19,Quotes!$B$5:$B$19,1)+1,15))</f>
        <v/>
      </c>
      <c r="E19" s="10">
        <f>IF($D19=$C19,0,($B19-$C19)/($D19-$C19))</f>
        <v/>
      </c>
      <c r="F19" s="11">
        <f>INDEX(Quotes!$C$5:$C$19,MATCH($B19,Quotes!$B$5:$B$19,1))+$E19*(INDEX(Quotes!$C$5:$C$19,MIN(MATCH($B19,Quotes!$B$5:$B$19,1)+1,15))-INDEX(Quotes!$C$5:$C$19,MATCH($B19,Quotes!$B$5:$B$19,1)))</f>
        <v/>
      </c>
      <c r="G19" s="6">
        <f>IF(COUNTIF(Quotes!$B$5:$B$19,$B19)&gt;0,"quote","interp")</f>
        <v/>
      </c>
    </row>
    <row r="20">
      <c r="A20" s="6" t="n">
        <v>16</v>
      </c>
      <c r="B20" s="7" t="n">
        <v>4</v>
      </c>
      <c r="C20" s="7">
        <f>INDEX(Quotes!$B$5:$B$19,MATCH($B20,Quotes!$B$5:$B$19,1))</f>
        <v/>
      </c>
      <c r="D20" s="7">
        <f>INDEX(Quotes!$B$5:$B$19,MIN(MATCH($B20,Quotes!$B$5:$B$19,1)+1,15))</f>
        <v/>
      </c>
      <c r="E20" s="10">
        <f>IF($D20=$C20,0,($B20-$C20)/($D20-$C20))</f>
        <v/>
      </c>
      <c r="F20" s="11">
        <f>INDEX(Quotes!$C$5:$C$19,MATCH($B20,Quotes!$B$5:$B$19,1))+$E20*(INDEX(Quotes!$C$5:$C$19,MIN(MATCH($B20,Quotes!$B$5:$B$19,1)+1,15))-INDEX(Quotes!$C$5:$C$19,MATCH($B20,Quotes!$B$5:$B$19,1)))</f>
        <v/>
      </c>
      <c r="G20" s="6">
        <f>IF(COUNTIF(Quotes!$B$5:$B$19,$B20)&gt;0,"quote","interp")</f>
        <v/>
      </c>
    </row>
    <row r="21">
      <c r="A21" s="6" t="n">
        <v>17</v>
      </c>
      <c r="B21" s="7" t="n">
        <v>4.25</v>
      </c>
      <c r="C21" s="7">
        <f>INDEX(Quotes!$B$5:$B$19,MATCH($B21,Quotes!$B$5:$B$19,1))</f>
        <v/>
      </c>
      <c r="D21" s="7">
        <f>INDEX(Quotes!$B$5:$B$19,MIN(MATCH($B21,Quotes!$B$5:$B$19,1)+1,15))</f>
        <v/>
      </c>
      <c r="E21" s="10">
        <f>IF($D21=$C21,0,($B21-$C21)/($D21-$C21))</f>
        <v/>
      </c>
      <c r="F21" s="11">
        <f>INDEX(Quotes!$C$5:$C$19,MATCH($B21,Quotes!$B$5:$B$19,1))+$E21*(INDEX(Quotes!$C$5:$C$19,MIN(MATCH($B21,Quotes!$B$5:$B$19,1)+1,15))-INDEX(Quotes!$C$5:$C$19,MATCH($B21,Quotes!$B$5:$B$19,1)))</f>
        <v/>
      </c>
      <c r="G21" s="6">
        <f>IF(COUNTIF(Quotes!$B$5:$B$19,$B21)&gt;0,"quote","interp")</f>
        <v/>
      </c>
    </row>
    <row r="22">
      <c r="A22" s="6" t="n">
        <v>18</v>
      </c>
      <c r="B22" s="7" t="n">
        <v>4.5</v>
      </c>
      <c r="C22" s="7">
        <f>INDEX(Quotes!$B$5:$B$19,MATCH($B22,Quotes!$B$5:$B$19,1))</f>
        <v/>
      </c>
      <c r="D22" s="7">
        <f>INDEX(Quotes!$B$5:$B$19,MIN(MATCH($B22,Quotes!$B$5:$B$19,1)+1,15))</f>
        <v/>
      </c>
      <c r="E22" s="10">
        <f>IF($D22=$C22,0,($B22-$C22)/($D22-$C22))</f>
        <v/>
      </c>
      <c r="F22" s="11">
        <f>INDEX(Quotes!$C$5:$C$19,MATCH($B22,Quotes!$B$5:$B$19,1))+$E22*(INDEX(Quotes!$C$5:$C$19,MIN(MATCH($B22,Quotes!$B$5:$B$19,1)+1,15))-INDEX(Quotes!$C$5:$C$19,MATCH($B22,Quotes!$B$5:$B$19,1)))</f>
        <v/>
      </c>
      <c r="G22" s="6">
        <f>IF(COUNTIF(Quotes!$B$5:$B$19,$B22)&gt;0,"quote","interp")</f>
        <v/>
      </c>
    </row>
    <row r="23">
      <c r="A23" s="6" t="n">
        <v>19</v>
      </c>
      <c r="B23" s="7" t="n">
        <v>4.75</v>
      </c>
      <c r="C23" s="7">
        <f>INDEX(Quotes!$B$5:$B$19,MATCH($B23,Quotes!$B$5:$B$19,1))</f>
        <v/>
      </c>
      <c r="D23" s="7">
        <f>INDEX(Quotes!$B$5:$B$19,MIN(MATCH($B23,Quotes!$B$5:$B$19,1)+1,15))</f>
        <v/>
      </c>
      <c r="E23" s="10">
        <f>IF($D23=$C23,0,($B23-$C23)/($D23-$C23))</f>
        <v/>
      </c>
      <c r="F23" s="11">
        <f>INDEX(Quotes!$C$5:$C$19,MATCH($B23,Quotes!$B$5:$B$19,1))+$E23*(INDEX(Quotes!$C$5:$C$19,MIN(MATCH($B23,Quotes!$B$5:$B$19,1)+1,15))-INDEX(Quotes!$C$5:$C$19,MATCH($B23,Quotes!$B$5:$B$19,1)))</f>
        <v/>
      </c>
      <c r="G23" s="6">
        <f>IF(COUNTIF(Quotes!$B$5:$B$19,$B23)&gt;0,"quote","interp")</f>
        <v/>
      </c>
    </row>
    <row r="24">
      <c r="A24" s="6" t="n">
        <v>20</v>
      </c>
      <c r="B24" s="7" t="n">
        <v>5</v>
      </c>
      <c r="C24" s="7">
        <f>INDEX(Quotes!$B$5:$B$19,MATCH($B24,Quotes!$B$5:$B$19,1))</f>
        <v/>
      </c>
      <c r="D24" s="7">
        <f>INDEX(Quotes!$B$5:$B$19,MIN(MATCH($B24,Quotes!$B$5:$B$19,1)+1,15))</f>
        <v/>
      </c>
      <c r="E24" s="10">
        <f>IF($D24=$C24,0,($B24-$C24)/($D24-$C24))</f>
        <v/>
      </c>
      <c r="F24" s="11">
        <f>INDEX(Quotes!$C$5:$C$19,MATCH($B24,Quotes!$B$5:$B$19,1))+$E24*(INDEX(Quotes!$C$5:$C$19,MIN(MATCH($B24,Quotes!$B$5:$B$19,1)+1,15))-INDEX(Quotes!$C$5:$C$19,MATCH($B24,Quotes!$B$5:$B$19,1)))</f>
        <v/>
      </c>
      <c r="G24" s="6">
        <f>IF(COUNTIF(Quotes!$B$5:$B$19,$B24)&gt;0,"quote","interp")</f>
        <v/>
      </c>
    </row>
    <row r="25">
      <c r="A25" s="6" t="n">
        <v>21</v>
      </c>
      <c r="B25" s="7" t="n">
        <v>5.25</v>
      </c>
      <c r="C25" s="7">
        <f>INDEX(Quotes!$B$5:$B$19,MATCH($B25,Quotes!$B$5:$B$19,1))</f>
        <v/>
      </c>
      <c r="D25" s="7">
        <f>INDEX(Quotes!$B$5:$B$19,MIN(MATCH($B25,Quotes!$B$5:$B$19,1)+1,15))</f>
        <v/>
      </c>
      <c r="E25" s="10">
        <f>IF($D25=$C25,0,($B25-$C25)/($D25-$C25))</f>
        <v/>
      </c>
      <c r="F25" s="11">
        <f>INDEX(Quotes!$C$5:$C$19,MATCH($B25,Quotes!$B$5:$B$19,1))+$E25*(INDEX(Quotes!$C$5:$C$19,MIN(MATCH($B25,Quotes!$B$5:$B$19,1)+1,15))-INDEX(Quotes!$C$5:$C$19,MATCH($B25,Quotes!$B$5:$B$19,1)))</f>
        <v/>
      </c>
      <c r="G25" s="6">
        <f>IF(COUNTIF(Quotes!$B$5:$B$19,$B25)&gt;0,"quote","interp")</f>
        <v/>
      </c>
    </row>
    <row r="26">
      <c r="A26" s="6" t="n">
        <v>22</v>
      </c>
      <c r="B26" s="7" t="n">
        <v>5.5</v>
      </c>
      <c r="C26" s="7">
        <f>INDEX(Quotes!$B$5:$B$19,MATCH($B26,Quotes!$B$5:$B$19,1))</f>
        <v/>
      </c>
      <c r="D26" s="7">
        <f>INDEX(Quotes!$B$5:$B$19,MIN(MATCH($B26,Quotes!$B$5:$B$19,1)+1,15))</f>
        <v/>
      </c>
      <c r="E26" s="10">
        <f>IF($D26=$C26,0,($B26-$C26)/($D26-$C26))</f>
        <v/>
      </c>
      <c r="F26" s="11">
        <f>INDEX(Quotes!$C$5:$C$19,MATCH($B26,Quotes!$B$5:$B$19,1))+$E26*(INDEX(Quotes!$C$5:$C$19,MIN(MATCH($B26,Quotes!$B$5:$B$19,1)+1,15))-INDEX(Quotes!$C$5:$C$19,MATCH($B26,Quotes!$B$5:$B$19,1)))</f>
        <v/>
      </c>
      <c r="G26" s="6">
        <f>IF(COUNTIF(Quotes!$B$5:$B$19,$B26)&gt;0,"quote","interp")</f>
        <v/>
      </c>
    </row>
    <row r="27">
      <c r="A27" s="6" t="n">
        <v>23</v>
      </c>
      <c r="B27" s="7" t="n">
        <v>5.75</v>
      </c>
      <c r="C27" s="7">
        <f>INDEX(Quotes!$B$5:$B$19,MATCH($B27,Quotes!$B$5:$B$19,1))</f>
        <v/>
      </c>
      <c r="D27" s="7">
        <f>INDEX(Quotes!$B$5:$B$19,MIN(MATCH($B27,Quotes!$B$5:$B$19,1)+1,15))</f>
        <v/>
      </c>
      <c r="E27" s="10">
        <f>IF($D27=$C27,0,($B27-$C27)/($D27-$C27))</f>
        <v/>
      </c>
      <c r="F27" s="11">
        <f>INDEX(Quotes!$C$5:$C$19,MATCH($B27,Quotes!$B$5:$B$19,1))+$E27*(INDEX(Quotes!$C$5:$C$19,MIN(MATCH($B27,Quotes!$B$5:$B$19,1)+1,15))-INDEX(Quotes!$C$5:$C$19,MATCH($B27,Quotes!$B$5:$B$19,1)))</f>
        <v/>
      </c>
      <c r="G27" s="6">
        <f>IF(COUNTIF(Quotes!$B$5:$B$19,$B27)&gt;0,"quote","interp")</f>
        <v/>
      </c>
    </row>
    <row r="28">
      <c r="A28" s="6" t="n">
        <v>24</v>
      </c>
      <c r="B28" s="7" t="n">
        <v>6</v>
      </c>
      <c r="C28" s="7">
        <f>INDEX(Quotes!$B$5:$B$19,MATCH($B28,Quotes!$B$5:$B$19,1))</f>
        <v/>
      </c>
      <c r="D28" s="7">
        <f>INDEX(Quotes!$B$5:$B$19,MIN(MATCH($B28,Quotes!$B$5:$B$19,1)+1,15))</f>
        <v/>
      </c>
      <c r="E28" s="10">
        <f>IF($D28=$C28,0,($B28-$C28)/($D28-$C28))</f>
        <v/>
      </c>
      <c r="F28" s="11">
        <f>INDEX(Quotes!$C$5:$C$19,MATCH($B28,Quotes!$B$5:$B$19,1))+$E28*(INDEX(Quotes!$C$5:$C$19,MIN(MATCH($B28,Quotes!$B$5:$B$19,1)+1,15))-INDEX(Quotes!$C$5:$C$19,MATCH($B28,Quotes!$B$5:$B$19,1)))</f>
        <v/>
      </c>
      <c r="G28" s="6">
        <f>IF(COUNTIF(Quotes!$B$5:$B$19,$B28)&gt;0,"quote","interp")</f>
        <v/>
      </c>
    </row>
    <row r="29">
      <c r="A29" s="6" t="n">
        <v>25</v>
      </c>
      <c r="B29" s="7" t="n">
        <v>6.25</v>
      </c>
      <c r="C29" s="7">
        <f>INDEX(Quotes!$B$5:$B$19,MATCH($B29,Quotes!$B$5:$B$19,1))</f>
        <v/>
      </c>
      <c r="D29" s="7">
        <f>INDEX(Quotes!$B$5:$B$19,MIN(MATCH($B29,Quotes!$B$5:$B$19,1)+1,15))</f>
        <v/>
      </c>
      <c r="E29" s="10">
        <f>IF($D29=$C29,0,($B29-$C29)/($D29-$C29))</f>
        <v/>
      </c>
      <c r="F29" s="11">
        <f>INDEX(Quotes!$C$5:$C$19,MATCH($B29,Quotes!$B$5:$B$19,1))+$E29*(INDEX(Quotes!$C$5:$C$19,MIN(MATCH($B29,Quotes!$B$5:$B$19,1)+1,15))-INDEX(Quotes!$C$5:$C$19,MATCH($B29,Quotes!$B$5:$B$19,1)))</f>
        <v/>
      </c>
      <c r="G29" s="6">
        <f>IF(COUNTIF(Quotes!$B$5:$B$19,$B29)&gt;0,"quote","interp")</f>
        <v/>
      </c>
    </row>
    <row r="30">
      <c r="A30" s="6" t="n">
        <v>26</v>
      </c>
      <c r="B30" s="7" t="n">
        <v>6.5</v>
      </c>
      <c r="C30" s="7">
        <f>INDEX(Quotes!$B$5:$B$19,MATCH($B30,Quotes!$B$5:$B$19,1))</f>
        <v/>
      </c>
      <c r="D30" s="7">
        <f>INDEX(Quotes!$B$5:$B$19,MIN(MATCH($B30,Quotes!$B$5:$B$19,1)+1,15))</f>
        <v/>
      </c>
      <c r="E30" s="10">
        <f>IF($D30=$C30,0,($B30-$C30)/($D30-$C30))</f>
        <v/>
      </c>
      <c r="F30" s="11">
        <f>INDEX(Quotes!$C$5:$C$19,MATCH($B30,Quotes!$B$5:$B$19,1))+$E30*(INDEX(Quotes!$C$5:$C$19,MIN(MATCH($B30,Quotes!$B$5:$B$19,1)+1,15))-INDEX(Quotes!$C$5:$C$19,MATCH($B30,Quotes!$B$5:$B$19,1)))</f>
        <v/>
      </c>
      <c r="G30" s="6">
        <f>IF(COUNTIF(Quotes!$B$5:$B$19,$B30)&gt;0,"quote","interp")</f>
        <v/>
      </c>
    </row>
    <row r="31">
      <c r="A31" s="6" t="n">
        <v>27</v>
      </c>
      <c r="B31" s="7" t="n">
        <v>6.75</v>
      </c>
      <c r="C31" s="7">
        <f>INDEX(Quotes!$B$5:$B$19,MATCH($B31,Quotes!$B$5:$B$19,1))</f>
        <v/>
      </c>
      <c r="D31" s="7">
        <f>INDEX(Quotes!$B$5:$B$19,MIN(MATCH($B31,Quotes!$B$5:$B$19,1)+1,15))</f>
        <v/>
      </c>
      <c r="E31" s="10">
        <f>IF($D31=$C31,0,($B31-$C31)/($D31-$C31))</f>
        <v/>
      </c>
      <c r="F31" s="11">
        <f>INDEX(Quotes!$C$5:$C$19,MATCH($B31,Quotes!$B$5:$B$19,1))+$E31*(INDEX(Quotes!$C$5:$C$19,MIN(MATCH($B31,Quotes!$B$5:$B$19,1)+1,15))-INDEX(Quotes!$C$5:$C$19,MATCH($B31,Quotes!$B$5:$B$19,1)))</f>
        <v/>
      </c>
      <c r="G31" s="6">
        <f>IF(COUNTIF(Quotes!$B$5:$B$19,$B31)&gt;0,"quote","interp")</f>
        <v/>
      </c>
    </row>
    <row r="32">
      <c r="A32" s="6" t="n">
        <v>28</v>
      </c>
      <c r="B32" s="7" t="n">
        <v>7</v>
      </c>
      <c r="C32" s="7">
        <f>INDEX(Quotes!$B$5:$B$19,MATCH($B32,Quotes!$B$5:$B$19,1))</f>
        <v/>
      </c>
      <c r="D32" s="7">
        <f>INDEX(Quotes!$B$5:$B$19,MIN(MATCH($B32,Quotes!$B$5:$B$19,1)+1,15))</f>
        <v/>
      </c>
      <c r="E32" s="10">
        <f>IF($D32=$C32,0,($B32-$C32)/($D32-$C32))</f>
        <v/>
      </c>
      <c r="F32" s="11">
        <f>INDEX(Quotes!$C$5:$C$19,MATCH($B32,Quotes!$B$5:$B$19,1))+$E32*(INDEX(Quotes!$C$5:$C$19,MIN(MATCH($B32,Quotes!$B$5:$B$19,1)+1,15))-INDEX(Quotes!$C$5:$C$19,MATCH($B32,Quotes!$B$5:$B$19,1)))</f>
        <v/>
      </c>
      <c r="G32" s="6">
        <f>IF(COUNTIF(Quotes!$B$5:$B$19,$B32)&gt;0,"quote","interp")</f>
        <v/>
      </c>
    </row>
    <row r="33">
      <c r="A33" s="6" t="n">
        <v>29</v>
      </c>
      <c r="B33" s="7" t="n">
        <v>7.25</v>
      </c>
      <c r="C33" s="7">
        <f>INDEX(Quotes!$B$5:$B$19,MATCH($B33,Quotes!$B$5:$B$19,1))</f>
        <v/>
      </c>
      <c r="D33" s="7">
        <f>INDEX(Quotes!$B$5:$B$19,MIN(MATCH($B33,Quotes!$B$5:$B$19,1)+1,15))</f>
        <v/>
      </c>
      <c r="E33" s="10">
        <f>IF($D33=$C33,0,($B33-$C33)/($D33-$C33))</f>
        <v/>
      </c>
      <c r="F33" s="11">
        <f>INDEX(Quotes!$C$5:$C$19,MATCH($B33,Quotes!$B$5:$B$19,1))+$E33*(INDEX(Quotes!$C$5:$C$19,MIN(MATCH($B33,Quotes!$B$5:$B$19,1)+1,15))-INDEX(Quotes!$C$5:$C$19,MATCH($B33,Quotes!$B$5:$B$19,1)))</f>
        <v/>
      </c>
      <c r="G33" s="6">
        <f>IF(COUNTIF(Quotes!$B$5:$B$19,$B33)&gt;0,"quote","interp")</f>
        <v/>
      </c>
    </row>
    <row r="34">
      <c r="A34" s="6" t="n">
        <v>30</v>
      </c>
      <c r="B34" s="7" t="n">
        <v>7.5</v>
      </c>
      <c r="C34" s="7">
        <f>INDEX(Quotes!$B$5:$B$19,MATCH($B34,Quotes!$B$5:$B$19,1))</f>
        <v/>
      </c>
      <c r="D34" s="7">
        <f>INDEX(Quotes!$B$5:$B$19,MIN(MATCH($B34,Quotes!$B$5:$B$19,1)+1,15))</f>
        <v/>
      </c>
      <c r="E34" s="10">
        <f>IF($D34=$C34,0,($B34-$C34)/($D34-$C34))</f>
        <v/>
      </c>
      <c r="F34" s="11">
        <f>INDEX(Quotes!$C$5:$C$19,MATCH($B34,Quotes!$B$5:$B$19,1))+$E34*(INDEX(Quotes!$C$5:$C$19,MIN(MATCH($B34,Quotes!$B$5:$B$19,1)+1,15))-INDEX(Quotes!$C$5:$C$19,MATCH($B34,Quotes!$B$5:$B$19,1)))</f>
        <v/>
      </c>
      <c r="G34" s="6">
        <f>IF(COUNTIF(Quotes!$B$5:$B$19,$B34)&gt;0,"quote","interp")</f>
        <v/>
      </c>
    </row>
    <row r="35">
      <c r="A35" s="6" t="n">
        <v>31</v>
      </c>
      <c r="B35" s="7" t="n">
        <v>7.75</v>
      </c>
      <c r="C35" s="7">
        <f>INDEX(Quotes!$B$5:$B$19,MATCH($B35,Quotes!$B$5:$B$19,1))</f>
        <v/>
      </c>
      <c r="D35" s="7">
        <f>INDEX(Quotes!$B$5:$B$19,MIN(MATCH($B35,Quotes!$B$5:$B$19,1)+1,15))</f>
        <v/>
      </c>
      <c r="E35" s="10">
        <f>IF($D35=$C35,0,($B35-$C35)/($D35-$C35))</f>
        <v/>
      </c>
      <c r="F35" s="11">
        <f>INDEX(Quotes!$C$5:$C$19,MATCH($B35,Quotes!$B$5:$B$19,1))+$E35*(INDEX(Quotes!$C$5:$C$19,MIN(MATCH($B35,Quotes!$B$5:$B$19,1)+1,15))-INDEX(Quotes!$C$5:$C$19,MATCH($B35,Quotes!$B$5:$B$19,1)))</f>
        <v/>
      </c>
      <c r="G35" s="6">
        <f>IF(COUNTIF(Quotes!$B$5:$B$19,$B35)&gt;0,"quote","interp")</f>
        <v/>
      </c>
    </row>
    <row r="36">
      <c r="A36" s="6" t="n">
        <v>32</v>
      </c>
      <c r="B36" s="7" t="n">
        <v>8</v>
      </c>
      <c r="C36" s="7">
        <f>INDEX(Quotes!$B$5:$B$19,MATCH($B36,Quotes!$B$5:$B$19,1))</f>
        <v/>
      </c>
      <c r="D36" s="7">
        <f>INDEX(Quotes!$B$5:$B$19,MIN(MATCH($B36,Quotes!$B$5:$B$19,1)+1,15))</f>
        <v/>
      </c>
      <c r="E36" s="10">
        <f>IF($D36=$C36,0,($B36-$C36)/($D36-$C36))</f>
        <v/>
      </c>
      <c r="F36" s="11">
        <f>INDEX(Quotes!$C$5:$C$19,MATCH($B36,Quotes!$B$5:$B$19,1))+$E36*(INDEX(Quotes!$C$5:$C$19,MIN(MATCH($B36,Quotes!$B$5:$B$19,1)+1,15))-INDEX(Quotes!$C$5:$C$19,MATCH($B36,Quotes!$B$5:$B$19,1)))</f>
        <v/>
      </c>
      <c r="G36" s="6">
        <f>IF(COUNTIF(Quotes!$B$5:$B$19,$B36)&gt;0,"quote","interp")</f>
        <v/>
      </c>
    </row>
    <row r="37">
      <c r="A37" s="6" t="n">
        <v>33</v>
      </c>
      <c r="B37" s="7" t="n">
        <v>8.25</v>
      </c>
      <c r="C37" s="7">
        <f>INDEX(Quotes!$B$5:$B$19,MATCH($B37,Quotes!$B$5:$B$19,1))</f>
        <v/>
      </c>
      <c r="D37" s="7">
        <f>INDEX(Quotes!$B$5:$B$19,MIN(MATCH($B37,Quotes!$B$5:$B$19,1)+1,15))</f>
        <v/>
      </c>
      <c r="E37" s="10">
        <f>IF($D37=$C37,0,($B37-$C37)/($D37-$C37))</f>
        <v/>
      </c>
      <c r="F37" s="11">
        <f>INDEX(Quotes!$C$5:$C$19,MATCH($B37,Quotes!$B$5:$B$19,1))+$E37*(INDEX(Quotes!$C$5:$C$19,MIN(MATCH($B37,Quotes!$B$5:$B$19,1)+1,15))-INDEX(Quotes!$C$5:$C$19,MATCH($B37,Quotes!$B$5:$B$19,1)))</f>
        <v/>
      </c>
      <c r="G37" s="6">
        <f>IF(COUNTIF(Quotes!$B$5:$B$19,$B37)&gt;0,"quote","interp")</f>
        <v/>
      </c>
    </row>
    <row r="38">
      <c r="A38" s="6" t="n">
        <v>34</v>
      </c>
      <c r="B38" s="7" t="n">
        <v>8.5</v>
      </c>
      <c r="C38" s="7">
        <f>INDEX(Quotes!$B$5:$B$19,MATCH($B38,Quotes!$B$5:$B$19,1))</f>
        <v/>
      </c>
      <c r="D38" s="7">
        <f>INDEX(Quotes!$B$5:$B$19,MIN(MATCH($B38,Quotes!$B$5:$B$19,1)+1,15))</f>
        <v/>
      </c>
      <c r="E38" s="10">
        <f>IF($D38=$C38,0,($B38-$C38)/($D38-$C38))</f>
        <v/>
      </c>
      <c r="F38" s="11">
        <f>INDEX(Quotes!$C$5:$C$19,MATCH($B38,Quotes!$B$5:$B$19,1))+$E38*(INDEX(Quotes!$C$5:$C$19,MIN(MATCH($B38,Quotes!$B$5:$B$19,1)+1,15))-INDEX(Quotes!$C$5:$C$19,MATCH($B38,Quotes!$B$5:$B$19,1)))</f>
        <v/>
      </c>
      <c r="G38" s="6">
        <f>IF(COUNTIF(Quotes!$B$5:$B$19,$B38)&gt;0,"quote","interp")</f>
        <v/>
      </c>
    </row>
    <row r="39">
      <c r="A39" s="6" t="n">
        <v>35</v>
      </c>
      <c r="B39" s="7" t="n">
        <v>8.75</v>
      </c>
      <c r="C39" s="7">
        <f>INDEX(Quotes!$B$5:$B$19,MATCH($B39,Quotes!$B$5:$B$19,1))</f>
        <v/>
      </c>
      <c r="D39" s="7">
        <f>INDEX(Quotes!$B$5:$B$19,MIN(MATCH($B39,Quotes!$B$5:$B$19,1)+1,15))</f>
        <v/>
      </c>
      <c r="E39" s="10">
        <f>IF($D39=$C39,0,($B39-$C39)/($D39-$C39))</f>
        <v/>
      </c>
      <c r="F39" s="11">
        <f>INDEX(Quotes!$C$5:$C$19,MATCH($B39,Quotes!$B$5:$B$19,1))+$E39*(INDEX(Quotes!$C$5:$C$19,MIN(MATCH($B39,Quotes!$B$5:$B$19,1)+1,15))-INDEX(Quotes!$C$5:$C$19,MATCH($B39,Quotes!$B$5:$B$19,1)))</f>
        <v/>
      </c>
      <c r="G39" s="6">
        <f>IF(COUNTIF(Quotes!$B$5:$B$19,$B39)&gt;0,"quote","interp")</f>
        <v/>
      </c>
    </row>
    <row r="40">
      <c r="A40" s="6" t="n">
        <v>36</v>
      </c>
      <c r="B40" s="7" t="n">
        <v>9</v>
      </c>
      <c r="C40" s="7">
        <f>INDEX(Quotes!$B$5:$B$19,MATCH($B40,Quotes!$B$5:$B$19,1))</f>
        <v/>
      </c>
      <c r="D40" s="7">
        <f>INDEX(Quotes!$B$5:$B$19,MIN(MATCH($B40,Quotes!$B$5:$B$19,1)+1,15))</f>
        <v/>
      </c>
      <c r="E40" s="10">
        <f>IF($D40=$C40,0,($B40-$C40)/($D40-$C40))</f>
        <v/>
      </c>
      <c r="F40" s="11">
        <f>INDEX(Quotes!$C$5:$C$19,MATCH($B40,Quotes!$B$5:$B$19,1))+$E40*(INDEX(Quotes!$C$5:$C$19,MIN(MATCH($B40,Quotes!$B$5:$B$19,1)+1,15))-INDEX(Quotes!$C$5:$C$19,MATCH($B40,Quotes!$B$5:$B$19,1)))</f>
        <v/>
      </c>
      <c r="G40" s="6">
        <f>IF(COUNTIF(Quotes!$B$5:$B$19,$B40)&gt;0,"quote","interp")</f>
        <v/>
      </c>
    </row>
    <row r="41">
      <c r="A41" s="6" t="n">
        <v>37</v>
      </c>
      <c r="B41" s="7" t="n">
        <v>9.25</v>
      </c>
      <c r="C41" s="7">
        <f>INDEX(Quotes!$B$5:$B$19,MATCH($B41,Quotes!$B$5:$B$19,1))</f>
        <v/>
      </c>
      <c r="D41" s="7">
        <f>INDEX(Quotes!$B$5:$B$19,MIN(MATCH($B41,Quotes!$B$5:$B$19,1)+1,15))</f>
        <v/>
      </c>
      <c r="E41" s="10">
        <f>IF($D41=$C41,0,($B41-$C41)/($D41-$C41))</f>
        <v/>
      </c>
      <c r="F41" s="11">
        <f>INDEX(Quotes!$C$5:$C$19,MATCH($B41,Quotes!$B$5:$B$19,1))+$E41*(INDEX(Quotes!$C$5:$C$19,MIN(MATCH($B41,Quotes!$B$5:$B$19,1)+1,15))-INDEX(Quotes!$C$5:$C$19,MATCH($B41,Quotes!$B$5:$B$19,1)))</f>
        <v/>
      </c>
      <c r="G41" s="6">
        <f>IF(COUNTIF(Quotes!$B$5:$B$19,$B41)&gt;0,"quote","interp")</f>
        <v/>
      </c>
    </row>
    <row r="42">
      <c r="A42" s="6" t="n">
        <v>38</v>
      </c>
      <c r="B42" s="7" t="n">
        <v>9.5</v>
      </c>
      <c r="C42" s="7">
        <f>INDEX(Quotes!$B$5:$B$19,MATCH($B42,Quotes!$B$5:$B$19,1))</f>
        <v/>
      </c>
      <c r="D42" s="7">
        <f>INDEX(Quotes!$B$5:$B$19,MIN(MATCH($B42,Quotes!$B$5:$B$19,1)+1,15))</f>
        <v/>
      </c>
      <c r="E42" s="10">
        <f>IF($D42=$C42,0,($B42-$C42)/($D42-$C42))</f>
        <v/>
      </c>
      <c r="F42" s="11">
        <f>INDEX(Quotes!$C$5:$C$19,MATCH($B42,Quotes!$B$5:$B$19,1))+$E42*(INDEX(Quotes!$C$5:$C$19,MIN(MATCH($B42,Quotes!$B$5:$B$19,1)+1,15))-INDEX(Quotes!$C$5:$C$19,MATCH($B42,Quotes!$B$5:$B$19,1)))</f>
        <v/>
      </c>
      <c r="G42" s="6">
        <f>IF(COUNTIF(Quotes!$B$5:$B$19,$B42)&gt;0,"quote","interp")</f>
        <v/>
      </c>
    </row>
    <row r="43">
      <c r="A43" s="6" t="n">
        <v>39</v>
      </c>
      <c r="B43" s="7" t="n">
        <v>9.75</v>
      </c>
      <c r="C43" s="7">
        <f>INDEX(Quotes!$B$5:$B$19,MATCH($B43,Quotes!$B$5:$B$19,1))</f>
        <v/>
      </c>
      <c r="D43" s="7">
        <f>INDEX(Quotes!$B$5:$B$19,MIN(MATCH($B43,Quotes!$B$5:$B$19,1)+1,15))</f>
        <v/>
      </c>
      <c r="E43" s="10">
        <f>IF($D43=$C43,0,($B43-$C43)/($D43-$C43))</f>
        <v/>
      </c>
      <c r="F43" s="11">
        <f>INDEX(Quotes!$C$5:$C$19,MATCH($B43,Quotes!$B$5:$B$19,1))+$E43*(INDEX(Quotes!$C$5:$C$19,MIN(MATCH($B43,Quotes!$B$5:$B$19,1)+1,15))-INDEX(Quotes!$C$5:$C$19,MATCH($B43,Quotes!$B$5:$B$19,1)))</f>
        <v/>
      </c>
      <c r="G43" s="6">
        <f>IF(COUNTIF(Quotes!$B$5:$B$19,$B43)&gt;0,"quote","interp")</f>
        <v/>
      </c>
    </row>
    <row r="44">
      <c r="A44" s="6" t="n">
        <v>40</v>
      </c>
      <c r="B44" s="7" t="n">
        <v>10</v>
      </c>
      <c r="C44" s="7">
        <f>INDEX(Quotes!$B$5:$B$19,MATCH($B44,Quotes!$B$5:$B$19,1))</f>
        <v/>
      </c>
      <c r="D44" s="7">
        <f>INDEX(Quotes!$B$5:$B$19,MIN(MATCH($B44,Quotes!$B$5:$B$19,1)+1,15))</f>
        <v/>
      </c>
      <c r="E44" s="10">
        <f>IF($D44=$C44,0,($B44-$C44)/($D44-$C44))</f>
        <v/>
      </c>
      <c r="F44" s="11">
        <f>INDEX(Quotes!$C$5:$C$19,MATCH($B44,Quotes!$B$5:$B$19,1))+$E44*(INDEX(Quotes!$C$5:$C$19,MIN(MATCH($B44,Quotes!$B$5:$B$19,1)+1,15))-INDEX(Quotes!$C$5:$C$19,MATCH($B44,Quotes!$B$5:$B$19,1)))</f>
        <v/>
      </c>
      <c r="G44" s="6">
        <f>IF(COUNTIF(Quotes!$B$5:$B$19,$B44)&gt;0,"quote","interp")</f>
        <v/>
      </c>
    </row>
    <row r="45">
      <c r="A45" s="6" t="n">
        <v>41</v>
      </c>
      <c r="B45" s="7" t="n">
        <v>10.25</v>
      </c>
      <c r="C45" s="7">
        <f>INDEX(Quotes!$B$5:$B$19,MATCH($B45,Quotes!$B$5:$B$19,1))</f>
        <v/>
      </c>
      <c r="D45" s="7">
        <f>INDEX(Quotes!$B$5:$B$19,MIN(MATCH($B45,Quotes!$B$5:$B$19,1)+1,15))</f>
        <v/>
      </c>
      <c r="E45" s="10">
        <f>IF($D45=$C45,0,($B45-$C45)/($D45-$C45))</f>
        <v/>
      </c>
      <c r="F45" s="11">
        <f>INDEX(Quotes!$C$5:$C$19,MATCH($B45,Quotes!$B$5:$B$19,1))+$E45*(INDEX(Quotes!$C$5:$C$19,MIN(MATCH($B45,Quotes!$B$5:$B$19,1)+1,15))-INDEX(Quotes!$C$5:$C$19,MATCH($B45,Quotes!$B$5:$B$19,1)))</f>
        <v/>
      </c>
      <c r="G45" s="6">
        <f>IF(COUNTIF(Quotes!$B$5:$B$19,$B45)&gt;0,"quote","interp")</f>
        <v/>
      </c>
    </row>
    <row r="46">
      <c r="A46" s="6" t="n">
        <v>42</v>
      </c>
      <c r="B46" s="7" t="n">
        <v>10.5</v>
      </c>
      <c r="C46" s="7">
        <f>INDEX(Quotes!$B$5:$B$19,MATCH($B46,Quotes!$B$5:$B$19,1))</f>
        <v/>
      </c>
      <c r="D46" s="7">
        <f>INDEX(Quotes!$B$5:$B$19,MIN(MATCH($B46,Quotes!$B$5:$B$19,1)+1,15))</f>
        <v/>
      </c>
      <c r="E46" s="10">
        <f>IF($D46=$C46,0,($B46-$C46)/($D46-$C46))</f>
        <v/>
      </c>
      <c r="F46" s="11">
        <f>INDEX(Quotes!$C$5:$C$19,MATCH($B46,Quotes!$B$5:$B$19,1))+$E46*(INDEX(Quotes!$C$5:$C$19,MIN(MATCH($B46,Quotes!$B$5:$B$19,1)+1,15))-INDEX(Quotes!$C$5:$C$19,MATCH($B46,Quotes!$B$5:$B$19,1)))</f>
        <v/>
      </c>
      <c r="G46" s="6">
        <f>IF(COUNTIF(Quotes!$B$5:$B$19,$B46)&gt;0,"quote","interp")</f>
        <v/>
      </c>
    </row>
    <row r="47">
      <c r="A47" s="6" t="n">
        <v>43</v>
      </c>
      <c r="B47" s="7" t="n">
        <v>10.75</v>
      </c>
      <c r="C47" s="7">
        <f>INDEX(Quotes!$B$5:$B$19,MATCH($B47,Quotes!$B$5:$B$19,1))</f>
        <v/>
      </c>
      <c r="D47" s="7">
        <f>INDEX(Quotes!$B$5:$B$19,MIN(MATCH($B47,Quotes!$B$5:$B$19,1)+1,15))</f>
        <v/>
      </c>
      <c r="E47" s="10">
        <f>IF($D47=$C47,0,($B47-$C47)/($D47-$C47))</f>
        <v/>
      </c>
      <c r="F47" s="11">
        <f>INDEX(Quotes!$C$5:$C$19,MATCH($B47,Quotes!$B$5:$B$19,1))+$E47*(INDEX(Quotes!$C$5:$C$19,MIN(MATCH($B47,Quotes!$B$5:$B$19,1)+1,15))-INDEX(Quotes!$C$5:$C$19,MATCH($B47,Quotes!$B$5:$B$19,1)))</f>
        <v/>
      </c>
      <c r="G47" s="6">
        <f>IF(COUNTIF(Quotes!$B$5:$B$19,$B47)&gt;0,"quote","interp")</f>
        <v/>
      </c>
    </row>
    <row r="48">
      <c r="A48" s="6" t="n">
        <v>44</v>
      </c>
      <c r="B48" s="7" t="n">
        <v>11</v>
      </c>
      <c r="C48" s="7">
        <f>INDEX(Quotes!$B$5:$B$19,MATCH($B48,Quotes!$B$5:$B$19,1))</f>
        <v/>
      </c>
      <c r="D48" s="7">
        <f>INDEX(Quotes!$B$5:$B$19,MIN(MATCH($B48,Quotes!$B$5:$B$19,1)+1,15))</f>
        <v/>
      </c>
      <c r="E48" s="10">
        <f>IF($D48=$C48,0,($B48-$C48)/($D48-$C48))</f>
        <v/>
      </c>
      <c r="F48" s="11">
        <f>INDEX(Quotes!$C$5:$C$19,MATCH($B48,Quotes!$B$5:$B$19,1))+$E48*(INDEX(Quotes!$C$5:$C$19,MIN(MATCH($B48,Quotes!$B$5:$B$19,1)+1,15))-INDEX(Quotes!$C$5:$C$19,MATCH($B48,Quotes!$B$5:$B$19,1)))</f>
        <v/>
      </c>
      <c r="G48" s="6">
        <f>IF(COUNTIF(Quotes!$B$5:$B$19,$B48)&gt;0,"quote","interp")</f>
        <v/>
      </c>
    </row>
    <row r="49">
      <c r="A49" s="6" t="n">
        <v>45</v>
      </c>
      <c r="B49" s="7" t="n">
        <v>11.25</v>
      </c>
      <c r="C49" s="7">
        <f>INDEX(Quotes!$B$5:$B$19,MATCH($B49,Quotes!$B$5:$B$19,1))</f>
        <v/>
      </c>
      <c r="D49" s="7">
        <f>INDEX(Quotes!$B$5:$B$19,MIN(MATCH($B49,Quotes!$B$5:$B$19,1)+1,15))</f>
        <v/>
      </c>
      <c r="E49" s="10">
        <f>IF($D49=$C49,0,($B49-$C49)/($D49-$C49))</f>
        <v/>
      </c>
      <c r="F49" s="11">
        <f>INDEX(Quotes!$C$5:$C$19,MATCH($B49,Quotes!$B$5:$B$19,1))+$E49*(INDEX(Quotes!$C$5:$C$19,MIN(MATCH($B49,Quotes!$B$5:$B$19,1)+1,15))-INDEX(Quotes!$C$5:$C$19,MATCH($B49,Quotes!$B$5:$B$19,1)))</f>
        <v/>
      </c>
      <c r="G49" s="6">
        <f>IF(COUNTIF(Quotes!$B$5:$B$19,$B49)&gt;0,"quote","interp")</f>
        <v/>
      </c>
    </row>
    <row r="50">
      <c r="A50" s="6" t="n">
        <v>46</v>
      </c>
      <c r="B50" s="7" t="n">
        <v>11.5</v>
      </c>
      <c r="C50" s="7">
        <f>INDEX(Quotes!$B$5:$B$19,MATCH($B50,Quotes!$B$5:$B$19,1))</f>
        <v/>
      </c>
      <c r="D50" s="7">
        <f>INDEX(Quotes!$B$5:$B$19,MIN(MATCH($B50,Quotes!$B$5:$B$19,1)+1,15))</f>
        <v/>
      </c>
      <c r="E50" s="10">
        <f>IF($D50=$C50,0,($B50-$C50)/($D50-$C50))</f>
        <v/>
      </c>
      <c r="F50" s="11">
        <f>INDEX(Quotes!$C$5:$C$19,MATCH($B50,Quotes!$B$5:$B$19,1))+$E50*(INDEX(Quotes!$C$5:$C$19,MIN(MATCH($B50,Quotes!$B$5:$B$19,1)+1,15))-INDEX(Quotes!$C$5:$C$19,MATCH($B50,Quotes!$B$5:$B$19,1)))</f>
        <v/>
      </c>
      <c r="G50" s="6">
        <f>IF(COUNTIF(Quotes!$B$5:$B$19,$B50)&gt;0,"quote","interp")</f>
        <v/>
      </c>
    </row>
    <row r="51">
      <c r="A51" s="6" t="n">
        <v>47</v>
      </c>
      <c r="B51" s="7" t="n">
        <v>11.75</v>
      </c>
      <c r="C51" s="7">
        <f>INDEX(Quotes!$B$5:$B$19,MATCH($B51,Quotes!$B$5:$B$19,1))</f>
        <v/>
      </c>
      <c r="D51" s="7">
        <f>INDEX(Quotes!$B$5:$B$19,MIN(MATCH($B51,Quotes!$B$5:$B$19,1)+1,15))</f>
        <v/>
      </c>
      <c r="E51" s="10">
        <f>IF($D51=$C51,0,($B51-$C51)/($D51-$C51))</f>
        <v/>
      </c>
      <c r="F51" s="11">
        <f>INDEX(Quotes!$C$5:$C$19,MATCH($B51,Quotes!$B$5:$B$19,1))+$E51*(INDEX(Quotes!$C$5:$C$19,MIN(MATCH($B51,Quotes!$B$5:$B$19,1)+1,15))-INDEX(Quotes!$C$5:$C$19,MATCH($B51,Quotes!$B$5:$B$19,1)))</f>
        <v/>
      </c>
      <c r="G51" s="6">
        <f>IF(COUNTIF(Quotes!$B$5:$B$19,$B51)&gt;0,"quote","interp")</f>
        <v/>
      </c>
    </row>
    <row r="52">
      <c r="A52" s="6" t="n">
        <v>48</v>
      </c>
      <c r="B52" s="7" t="n">
        <v>12</v>
      </c>
      <c r="C52" s="7">
        <f>INDEX(Quotes!$B$5:$B$19,MATCH($B52,Quotes!$B$5:$B$19,1))</f>
        <v/>
      </c>
      <c r="D52" s="7">
        <f>INDEX(Quotes!$B$5:$B$19,MIN(MATCH($B52,Quotes!$B$5:$B$19,1)+1,15))</f>
        <v/>
      </c>
      <c r="E52" s="10">
        <f>IF($D52=$C52,0,($B52-$C52)/($D52-$C52))</f>
        <v/>
      </c>
      <c r="F52" s="11">
        <f>INDEX(Quotes!$C$5:$C$19,MATCH($B52,Quotes!$B$5:$B$19,1))+$E52*(INDEX(Quotes!$C$5:$C$19,MIN(MATCH($B52,Quotes!$B$5:$B$19,1)+1,15))-INDEX(Quotes!$C$5:$C$19,MATCH($B52,Quotes!$B$5:$B$19,1)))</f>
        <v/>
      </c>
      <c r="G52" s="6">
        <f>IF(COUNTIF(Quotes!$B$5:$B$19,$B52)&gt;0,"quote","interp")</f>
        <v/>
      </c>
    </row>
    <row r="53">
      <c r="A53" s="6" t="n">
        <v>49</v>
      </c>
      <c r="B53" s="7" t="n">
        <v>12.25</v>
      </c>
      <c r="C53" s="7">
        <f>INDEX(Quotes!$B$5:$B$19,MATCH($B53,Quotes!$B$5:$B$19,1))</f>
        <v/>
      </c>
      <c r="D53" s="7">
        <f>INDEX(Quotes!$B$5:$B$19,MIN(MATCH($B53,Quotes!$B$5:$B$19,1)+1,15))</f>
        <v/>
      </c>
      <c r="E53" s="10">
        <f>IF($D53=$C53,0,($B53-$C53)/($D53-$C53))</f>
        <v/>
      </c>
      <c r="F53" s="11">
        <f>INDEX(Quotes!$C$5:$C$19,MATCH($B53,Quotes!$B$5:$B$19,1))+$E53*(INDEX(Quotes!$C$5:$C$19,MIN(MATCH($B53,Quotes!$B$5:$B$19,1)+1,15))-INDEX(Quotes!$C$5:$C$19,MATCH($B53,Quotes!$B$5:$B$19,1)))</f>
        <v/>
      </c>
      <c r="G53" s="6">
        <f>IF(COUNTIF(Quotes!$B$5:$B$19,$B53)&gt;0,"quote","interp")</f>
        <v/>
      </c>
    </row>
    <row r="54">
      <c r="A54" s="6" t="n">
        <v>50</v>
      </c>
      <c r="B54" s="7" t="n">
        <v>12.5</v>
      </c>
      <c r="C54" s="7">
        <f>INDEX(Quotes!$B$5:$B$19,MATCH($B54,Quotes!$B$5:$B$19,1))</f>
        <v/>
      </c>
      <c r="D54" s="7">
        <f>INDEX(Quotes!$B$5:$B$19,MIN(MATCH($B54,Quotes!$B$5:$B$19,1)+1,15))</f>
        <v/>
      </c>
      <c r="E54" s="10">
        <f>IF($D54=$C54,0,($B54-$C54)/($D54-$C54))</f>
        <v/>
      </c>
      <c r="F54" s="11">
        <f>INDEX(Quotes!$C$5:$C$19,MATCH($B54,Quotes!$B$5:$B$19,1))+$E54*(INDEX(Quotes!$C$5:$C$19,MIN(MATCH($B54,Quotes!$B$5:$B$19,1)+1,15))-INDEX(Quotes!$C$5:$C$19,MATCH($B54,Quotes!$B$5:$B$19,1)))</f>
        <v/>
      </c>
      <c r="G54" s="6">
        <f>IF(COUNTIF(Quotes!$B$5:$B$19,$B54)&gt;0,"quote","interp")</f>
        <v/>
      </c>
    </row>
    <row r="55">
      <c r="A55" s="6" t="n">
        <v>51</v>
      </c>
      <c r="B55" s="7" t="n">
        <v>12.75</v>
      </c>
      <c r="C55" s="7">
        <f>INDEX(Quotes!$B$5:$B$19,MATCH($B55,Quotes!$B$5:$B$19,1))</f>
        <v/>
      </c>
      <c r="D55" s="7">
        <f>INDEX(Quotes!$B$5:$B$19,MIN(MATCH($B55,Quotes!$B$5:$B$19,1)+1,15))</f>
        <v/>
      </c>
      <c r="E55" s="10">
        <f>IF($D55=$C55,0,($B55-$C55)/($D55-$C55))</f>
        <v/>
      </c>
      <c r="F55" s="11">
        <f>INDEX(Quotes!$C$5:$C$19,MATCH($B55,Quotes!$B$5:$B$19,1))+$E55*(INDEX(Quotes!$C$5:$C$19,MIN(MATCH($B55,Quotes!$B$5:$B$19,1)+1,15))-INDEX(Quotes!$C$5:$C$19,MATCH($B55,Quotes!$B$5:$B$19,1)))</f>
        <v/>
      </c>
      <c r="G55" s="6">
        <f>IF(COUNTIF(Quotes!$B$5:$B$19,$B55)&gt;0,"quote","interp")</f>
        <v/>
      </c>
    </row>
    <row r="56">
      <c r="A56" s="6" t="n">
        <v>52</v>
      </c>
      <c r="B56" s="7" t="n">
        <v>13</v>
      </c>
      <c r="C56" s="7">
        <f>INDEX(Quotes!$B$5:$B$19,MATCH($B56,Quotes!$B$5:$B$19,1))</f>
        <v/>
      </c>
      <c r="D56" s="7">
        <f>INDEX(Quotes!$B$5:$B$19,MIN(MATCH($B56,Quotes!$B$5:$B$19,1)+1,15))</f>
        <v/>
      </c>
      <c r="E56" s="10">
        <f>IF($D56=$C56,0,($B56-$C56)/($D56-$C56))</f>
        <v/>
      </c>
      <c r="F56" s="11">
        <f>INDEX(Quotes!$C$5:$C$19,MATCH($B56,Quotes!$B$5:$B$19,1))+$E56*(INDEX(Quotes!$C$5:$C$19,MIN(MATCH($B56,Quotes!$B$5:$B$19,1)+1,15))-INDEX(Quotes!$C$5:$C$19,MATCH($B56,Quotes!$B$5:$B$19,1)))</f>
        <v/>
      </c>
      <c r="G56" s="6">
        <f>IF(COUNTIF(Quotes!$B$5:$B$19,$B56)&gt;0,"quote","interp")</f>
        <v/>
      </c>
    </row>
    <row r="57">
      <c r="A57" s="6" t="n">
        <v>53</v>
      </c>
      <c r="B57" s="7" t="n">
        <v>13.25</v>
      </c>
      <c r="C57" s="7">
        <f>INDEX(Quotes!$B$5:$B$19,MATCH($B57,Quotes!$B$5:$B$19,1))</f>
        <v/>
      </c>
      <c r="D57" s="7">
        <f>INDEX(Quotes!$B$5:$B$19,MIN(MATCH($B57,Quotes!$B$5:$B$19,1)+1,15))</f>
        <v/>
      </c>
      <c r="E57" s="10">
        <f>IF($D57=$C57,0,($B57-$C57)/($D57-$C57))</f>
        <v/>
      </c>
      <c r="F57" s="11">
        <f>INDEX(Quotes!$C$5:$C$19,MATCH($B57,Quotes!$B$5:$B$19,1))+$E57*(INDEX(Quotes!$C$5:$C$19,MIN(MATCH($B57,Quotes!$B$5:$B$19,1)+1,15))-INDEX(Quotes!$C$5:$C$19,MATCH($B57,Quotes!$B$5:$B$19,1)))</f>
        <v/>
      </c>
      <c r="G57" s="6">
        <f>IF(COUNTIF(Quotes!$B$5:$B$19,$B57)&gt;0,"quote","interp")</f>
        <v/>
      </c>
    </row>
    <row r="58">
      <c r="A58" s="6" t="n">
        <v>54</v>
      </c>
      <c r="B58" s="7" t="n">
        <v>13.5</v>
      </c>
      <c r="C58" s="7">
        <f>INDEX(Quotes!$B$5:$B$19,MATCH($B58,Quotes!$B$5:$B$19,1))</f>
        <v/>
      </c>
      <c r="D58" s="7">
        <f>INDEX(Quotes!$B$5:$B$19,MIN(MATCH($B58,Quotes!$B$5:$B$19,1)+1,15))</f>
        <v/>
      </c>
      <c r="E58" s="10">
        <f>IF($D58=$C58,0,($B58-$C58)/($D58-$C58))</f>
        <v/>
      </c>
      <c r="F58" s="11">
        <f>INDEX(Quotes!$C$5:$C$19,MATCH($B58,Quotes!$B$5:$B$19,1))+$E58*(INDEX(Quotes!$C$5:$C$19,MIN(MATCH($B58,Quotes!$B$5:$B$19,1)+1,15))-INDEX(Quotes!$C$5:$C$19,MATCH($B58,Quotes!$B$5:$B$19,1)))</f>
        <v/>
      </c>
      <c r="G58" s="6">
        <f>IF(COUNTIF(Quotes!$B$5:$B$19,$B58)&gt;0,"quote","interp")</f>
        <v/>
      </c>
    </row>
    <row r="59">
      <c r="A59" s="6" t="n">
        <v>55</v>
      </c>
      <c r="B59" s="7" t="n">
        <v>13.75</v>
      </c>
      <c r="C59" s="7">
        <f>INDEX(Quotes!$B$5:$B$19,MATCH($B59,Quotes!$B$5:$B$19,1))</f>
        <v/>
      </c>
      <c r="D59" s="7">
        <f>INDEX(Quotes!$B$5:$B$19,MIN(MATCH($B59,Quotes!$B$5:$B$19,1)+1,15))</f>
        <v/>
      </c>
      <c r="E59" s="10">
        <f>IF($D59=$C59,0,($B59-$C59)/($D59-$C59))</f>
        <v/>
      </c>
      <c r="F59" s="11">
        <f>INDEX(Quotes!$C$5:$C$19,MATCH($B59,Quotes!$B$5:$B$19,1))+$E59*(INDEX(Quotes!$C$5:$C$19,MIN(MATCH($B59,Quotes!$B$5:$B$19,1)+1,15))-INDEX(Quotes!$C$5:$C$19,MATCH($B59,Quotes!$B$5:$B$19,1)))</f>
        <v/>
      </c>
      <c r="G59" s="6">
        <f>IF(COUNTIF(Quotes!$B$5:$B$19,$B59)&gt;0,"quote","interp")</f>
        <v/>
      </c>
    </row>
    <row r="60">
      <c r="A60" s="6" t="n">
        <v>56</v>
      </c>
      <c r="B60" s="7" t="n">
        <v>14</v>
      </c>
      <c r="C60" s="7">
        <f>INDEX(Quotes!$B$5:$B$19,MATCH($B60,Quotes!$B$5:$B$19,1))</f>
        <v/>
      </c>
      <c r="D60" s="7">
        <f>INDEX(Quotes!$B$5:$B$19,MIN(MATCH($B60,Quotes!$B$5:$B$19,1)+1,15))</f>
        <v/>
      </c>
      <c r="E60" s="10">
        <f>IF($D60=$C60,0,($B60-$C60)/($D60-$C60))</f>
        <v/>
      </c>
      <c r="F60" s="11">
        <f>INDEX(Quotes!$C$5:$C$19,MATCH($B60,Quotes!$B$5:$B$19,1))+$E60*(INDEX(Quotes!$C$5:$C$19,MIN(MATCH($B60,Quotes!$B$5:$B$19,1)+1,15))-INDEX(Quotes!$C$5:$C$19,MATCH($B60,Quotes!$B$5:$B$19,1)))</f>
        <v/>
      </c>
      <c r="G60" s="6">
        <f>IF(COUNTIF(Quotes!$B$5:$B$19,$B60)&gt;0,"quote","interp")</f>
        <v/>
      </c>
    </row>
    <row r="61">
      <c r="A61" s="6" t="n">
        <v>57</v>
      </c>
      <c r="B61" s="7" t="n">
        <v>14.25</v>
      </c>
      <c r="C61" s="7">
        <f>INDEX(Quotes!$B$5:$B$19,MATCH($B61,Quotes!$B$5:$B$19,1))</f>
        <v/>
      </c>
      <c r="D61" s="7">
        <f>INDEX(Quotes!$B$5:$B$19,MIN(MATCH($B61,Quotes!$B$5:$B$19,1)+1,15))</f>
        <v/>
      </c>
      <c r="E61" s="10">
        <f>IF($D61=$C61,0,($B61-$C61)/($D61-$C61))</f>
        <v/>
      </c>
      <c r="F61" s="11">
        <f>INDEX(Quotes!$C$5:$C$19,MATCH($B61,Quotes!$B$5:$B$19,1))+$E61*(INDEX(Quotes!$C$5:$C$19,MIN(MATCH($B61,Quotes!$B$5:$B$19,1)+1,15))-INDEX(Quotes!$C$5:$C$19,MATCH($B61,Quotes!$B$5:$B$19,1)))</f>
        <v/>
      </c>
      <c r="G61" s="6">
        <f>IF(COUNTIF(Quotes!$B$5:$B$19,$B61)&gt;0,"quote","interp")</f>
        <v/>
      </c>
    </row>
    <row r="62">
      <c r="A62" s="6" t="n">
        <v>58</v>
      </c>
      <c r="B62" s="7" t="n">
        <v>14.5</v>
      </c>
      <c r="C62" s="7">
        <f>INDEX(Quotes!$B$5:$B$19,MATCH($B62,Quotes!$B$5:$B$19,1))</f>
        <v/>
      </c>
      <c r="D62" s="7">
        <f>INDEX(Quotes!$B$5:$B$19,MIN(MATCH($B62,Quotes!$B$5:$B$19,1)+1,15))</f>
        <v/>
      </c>
      <c r="E62" s="10">
        <f>IF($D62=$C62,0,($B62-$C62)/($D62-$C62))</f>
        <v/>
      </c>
      <c r="F62" s="11">
        <f>INDEX(Quotes!$C$5:$C$19,MATCH($B62,Quotes!$B$5:$B$19,1))+$E62*(INDEX(Quotes!$C$5:$C$19,MIN(MATCH($B62,Quotes!$B$5:$B$19,1)+1,15))-INDEX(Quotes!$C$5:$C$19,MATCH($B62,Quotes!$B$5:$B$19,1)))</f>
        <v/>
      </c>
      <c r="G62" s="6">
        <f>IF(COUNTIF(Quotes!$B$5:$B$19,$B62)&gt;0,"quote","interp")</f>
        <v/>
      </c>
    </row>
    <row r="63">
      <c r="A63" s="6" t="n">
        <v>59</v>
      </c>
      <c r="B63" s="7" t="n">
        <v>14.75</v>
      </c>
      <c r="C63" s="7">
        <f>INDEX(Quotes!$B$5:$B$19,MATCH($B63,Quotes!$B$5:$B$19,1))</f>
        <v/>
      </c>
      <c r="D63" s="7">
        <f>INDEX(Quotes!$B$5:$B$19,MIN(MATCH($B63,Quotes!$B$5:$B$19,1)+1,15))</f>
        <v/>
      </c>
      <c r="E63" s="10">
        <f>IF($D63=$C63,0,($B63-$C63)/($D63-$C63))</f>
        <v/>
      </c>
      <c r="F63" s="11">
        <f>INDEX(Quotes!$C$5:$C$19,MATCH($B63,Quotes!$B$5:$B$19,1))+$E63*(INDEX(Quotes!$C$5:$C$19,MIN(MATCH($B63,Quotes!$B$5:$B$19,1)+1,15))-INDEX(Quotes!$C$5:$C$19,MATCH($B63,Quotes!$B$5:$B$19,1)))</f>
        <v/>
      </c>
      <c r="G63" s="6">
        <f>IF(COUNTIF(Quotes!$B$5:$B$19,$B63)&gt;0,"quote","interp")</f>
        <v/>
      </c>
    </row>
    <row r="64">
      <c r="A64" s="6" t="n">
        <v>60</v>
      </c>
      <c r="B64" s="7" t="n">
        <v>15</v>
      </c>
      <c r="C64" s="7">
        <f>INDEX(Quotes!$B$5:$B$19,MATCH($B64,Quotes!$B$5:$B$19,1))</f>
        <v/>
      </c>
      <c r="D64" s="7">
        <f>INDEX(Quotes!$B$5:$B$19,MIN(MATCH($B64,Quotes!$B$5:$B$19,1)+1,15))</f>
        <v/>
      </c>
      <c r="E64" s="10">
        <f>IF($D64=$C64,0,($B64-$C64)/($D64-$C64))</f>
        <v/>
      </c>
      <c r="F64" s="11">
        <f>INDEX(Quotes!$C$5:$C$19,MATCH($B64,Quotes!$B$5:$B$19,1))+$E64*(INDEX(Quotes!$C$5:$C$19,MIN(MATCH($B64,Quotes!$B$5:$B$19,1)+1,15))-INDEX(Quotes!$C$5:$C$19,MATCH($B64,Quotes!$B$5:$B$19,1)))</f>
        <v/>
      </c>
      <c r="G64" s="6">
        <f>IF(COUNTIF(Quotes!$B$5:$B$19,$B64)&gt;0,"quote","interp")</f>
        <v/>
      </c>
    </row>
    <row r="65">
      <c r="A65" s="6" t="n">
        <v>61</v>
      </c>
      <c r="B65" s="7" t="n">
        <v>15.25</v>
      </c>
      <c r="C65" s="7">
        <f>INDEX(Quotes!$B$5:$B$19,MATCH($B65,Quotes!$B$5:$B$19,1))</f>
        <v/>
      </c>
      <c r="D65" s="7">
        <f>INDEX(Quotes!$B$5:$B$19,MIN(MATCH($B65,Quotes!$B$5:$B$19,1)+1,15))</f>
        <v/>
      </c>
      <c r="E65" s="10">
        <f>IF($D65=$C65,0,($B65-$C65)/($D65-$C65))</f>
        <v/>
      </c>
      <c r="F65" s="11">
        <f>INDEX(Quotes!$C$5:$C$19,MATCH($B65,Quotes!$B$5:$B$19,1))+$E65*(INDEX(Quotes!$C$5:$C$19,MIN(MATCH($B65,Quotes!$B$5:$B$19,1)+1,15))-INDEX(Quotes!$C$5:$C$19,MATCH($B65,Quotes!$B$5:$B$19,1)))</f>
        <v/>
      </c>
      <c r="G65" s="6">
        <f>IF(COUNTIF(Quotes!$B$5:$B$19,$B65)&gt;0,"quote","interp")</f>
        <v/>
      </c>
    </row>
    <row r="66">
      <c r="A66" s="6" t="n">
        <v>62</v>
      </c>
      <c r="B66" s="7" t="n">
        <v>15.5</v>
      </c>
      <c r="C66" s="7">
        <f>INDEX(Quotes!$B$5:$B$19,MATCH($B66,Quotes!$B$5:$B$19,1))</f>
        <v/>
      </c>
      <c r="D66" s="7">
        <f>INDEX(Quotes!$B$5:$B$19,MIN(MATCH($B66,Quotes!$B$5:$B$19,1)+1,15))</f>
        <v/>
      </c>
      <c r="E66" s="10">
        <f>IF($D66=$C66,0,($B66-$C66)/($D66-$C66))</f>
        <v/>
      </c>
      <c r="F66" s="11">
        <f>INDEX(Quotes!$C$5:$C$19,MATCH($B66,Quotes!$B$5:$B$19,1))+$E66*(INDEX(Quotes!$C$5:$C$19,MIN(MATCH($B66,Quotes!$B$5:$B$19,1)+1,15))-INDEX(Quotes!$C$5:$C$19,MATCH($B66,Quotes!$B$5:$B$19,1)))</f>
        <v/>
      </c>
      <c r="G66" s="6">
        <f>IF(COUNTIF(Quotes!$B$5:$B$19,$B66)&gt;0,"quote","interp")</f>
        <v/>
      </c>
    </row>
    <row r="67">
      <c r="A67" s="6" t="n">
        <v>63</v>
      </c>
      <c r="B67" s="7" t="n">
        <v>15.75</v>
      </c>
      <c r="C67" s="7">
        <f>INDEX(Quotes!$B$5:$B$19,MATCH($B67,Quotes!$B$5:$B$19,1))</f>
        <v/>
      </c>
      <c r="D67" s="7">
        <f>INDEX(Quotes!$B$5:$B$19,MIN(MATCH($B67,Quotes!$B$5:$B$19,1)+1,15))</f>
        <v/>
      </c>
      <c r="E67" s="10">
        <f>IF($D67=$C67,0,($B67-$C67)/($D67-$C67))</f>
        <v/>
      </c>
      <c r="F67" s="11">
        <f>INDEX(Quotes!$C$5:$C$19,MATCH($B67,Quotes!$B$5:$B$19,1))+$E67*(INDEX(Quotes!$C$5:$C$19,MIN(MATCH($B67,Quotes!$B$5:$B$19,1)+1,15))-INDEX(Quotes!$C$5:$C$19,MATCH($B67,Quotes!$B$5:$B$19,1)))</f>
        <v/>
      </c>
      <c r="G67" s="6">
        <f>IF(COUNTIF(Quotes!$B$5:$B$19,$B67)&gt;0,"quote","interp")</f>
        <v/>
      </c>
    </row>
    <row r="68">
      <c r="A68" s="6" t="n">
        <v>64</v>
      </c>
      <c r="B68" s="7" t="n">
        <v>16</v>
      </c>
      <c r="C68" s="7">
        <f>INDEX(Quotes!$B$5:$B$19,MATCH($B68,Quotes!$B$5:$B$19,1))</f>
        <v/>
      </c>
      <c r="D68" s="7">
        <f>INDEX(Quotes!$B$5:$B$19,MIN(MATCH($B68,Quotes!$B$5:$B$19,1)+1,15))</f>
        <v/>
      </c>
      <c r="E68" s="10">
        <f>IF($D68=$C68,0,($B68-$C68)/($D68-$C68))</f>
        <v/>
      </c>
      <c r="F68" s="11">
        <f>INDEX(Quotes!$C$5:$C$19,MATCH($B68,Quotes!$B$5:$B$19,1))+$E68*(INDEX(Quotes!$C$5:$C$19,MIN(MATCH($B68,Quotes!$B$5:$B$19,1)+1,15))-INDEX(Quotes!$C$5:$C$19,MATCH($B68,Quotes!$B$5:$B$19,1)))</f>
        <v/>
      </c>
      <c r="G68" s="6">
        <f>IF(COUNTIF(Quotes!$B$5:$B$19,$B68)&gt;0,"quote","interp")</f>
        <v/>
      </c>
    </row>
    <row r="69">
      <c r="A69" s="6" t="n">
        <v>65</v>
      </c>
      <c r="B69" s="7" t="n">
        <v>16.25</v>
      </c>
      <c r="C69" s="7">
        <f>INDEX(Quotes!$B$5:$B$19,MATCH($B69,Quotes!$B$5:$B$19,1))</f>
        <v/>
      </c>
      <c r="D69" s="7">
        <f>INDEX(Quotes!$B$5:$B$19,MIN(MATCH($B69,Quotes!$B$5:$B$19,1)+1,15))</f>
        <v/>
      </c>
      <c r="E69" s="10">
        <f>IF($D69=$C69,0,($B69-$C69)/($D69-$C69))</f>
        <v/>
      </c>
      <c r="F69" s="11">
        <f>INDEX(Quotes!$C$5:$C$19,MATCH($B69,Quotes!$B$5:$B$19,1))+$E69*(INDEX(Quotes!$C$5:$C$19,MIN(MATCH($B69,Quotes!$B$5:$B$19,1)+1,15))-INDEX(Quotes!$C$5:$C$19,MATCH($B69,Quotes!$B$5:$B$19,1)))</f>
        <v/>
      </c>
      <c r="G69" s="6">
        <f>IF(COUNTIF(Quotes!$B$5:$B$19,$B69)&gt;0,"quote","interp")</f>
        <v/>
      </c>
    </row>
    <row r="70">
      <c r="A70" s="6" t="n">
        <v>66</v>
      </c>
      <c r="B70" s="7" t="n">
        <v>16.5</v>
      </c>
      <c r="C70" s="7">
        <f>INDEX(Quotes!$B$5:$B$19,MATCH($B70,Quotes!$B$5:$B$19,1))</f>
        <v/>
      </c>
      <c r="D70" s="7">
        <f>INDEX(Quotes!$B$5:$B$19,MIN(MATCH($B70,Quotes!$B$5:$B$19,1)+1,15))</f>
        <v/>
      </c>
      <c r="E70" s="10">
        <f>IF($D70=$C70,0,($B70-$C70)/($D70-$C70))</f>
        <v/>
      </c>
      <c r="F70" s="11">
        <f>INDEX(Quotes!$C$5:$C$19,MATCH($B70,Quotes!$B$5:$B$19,1))+$E70*(INDEX(Quotes!$C$5:$C$19,MIN(MATCH($B70,Quotes!$B$5:$B$19,1)+1,15))-INDEX(Quotes!$C$5:$C$19,MATCH($B70,Quotes!$B$5:$B$19,1)))</f>
        <v/>
      </c>
      <c r="G70" s="6">
        <f>IF(COUNTIF(Quotes!$B$5:$B$19,$B70)&gt;0,"quote","interp")</f>
        <v/>
      </c>
    </row>
    <row r="71">
      <c r="A71" s="6" t="n">
        <v>67</v>
      </c>
      <c r="B71" s="7" t="n">
        <v>16.75</v>
      </c>
      <c r="C71" s="7">
        <f>INDEX(Quotes!$B$5:$B$19,MATCH($B71,Quotes!$B$5:$B$19,1))</f>
        <v/>
      </c>
      <c r="D71" s="7">
        <f>INDEX(Quotes!$B$5:$B$19,MIN(MATCH($B71,Quotes!$B$5:$B$19,1)+1,15))</f>
        <v/>
      </c>
      <c r="E71" s="10">
        <f>IF($D71=$C71,0,($B71-$C71)/($D71-$C71))</f>
        <v/>
      </c>
      <c r="F71" s="11">
        <f>INDEX(Quotes!$C$5:$C$19,MATCH($B71,Quotes!$B$5:$B$19,1))+$E71*(INDEX(Quotes!$C$5:$C$19,MIN(MATCH($B71,Quotes!$B$5:$B$19,1)+1,15))-INDEX(Quotes!$C$5:$C$19,MATCH($B71,Quotes!$B$5:$B$19,1)))</f>
        <v/>
      </c>
      <c r="G71" s="6">
        <f>IF(COUNTIF(Quotes!$B$5:$B$19,$B71)&gt;0,"quote","interp")</f>
        <v/>
      </c>
    </row>
    <row r="72">
      <c r="A72" s="6" t="n">
        <v>68</v>
      </c>
      <c r="B72" s="7" t="n">
        <v>17</v>
      </c>
      <c r="C72" s="7">
        <f>INDEX(Quotes!$B$5:$B$19,MATCH($B72,Quotes!$B$5:$B$19,1))</f>
        <v/>
      </c>
      <c r="D72" s="7">
        <f>INDEX(Quotes!$B$5:$B$19,MIN(MATCH($B72,Quotes!$B$5:$B$19,1)+1,15))</f>
        <v/>
      </c>
      <c r="E72" s="10">
        <f>IF($D72=$C72,0,($B72-$C72)/($D72-$C72))</f>
        <v/>
      </c>
      <c r="F72" s="11">
        <f>INDEX(Quotes!$C$5:$C$19,MATCH($B72,Quotes!$B$5:$B$19,1))+$E72*(INDEX(Quotes!$C$5:$C$19,MIN(MATCH($B72,Quotes!$B$5:$B$19,1)+1,15))-INDEX(Quotes!$C$5:$C$19,MATCH($B72,Quotes!$B$5:$B$19,1)))</f>
        <v/>
      </c>
      <c r="G72" s="6">
        <f>IF(COUNTIF(Quotes!$B$5:$B$19,$B72)&gt;0,"quote","interp")</f>
        <v/>
      </c>
    </row>
    <row r="73">
      <c r="A73" s="6" t="n">
        <v>69</v>
      </c>
      <c r="B73" s="7" t="n">
        <v>17.25</v>
      </c>
      <c r="C73" s="7">
        <f>INDEX(Quotes!$B$5:$B$19,MATCH($B73,Quotes!$B$5:$B$19,1))</f>
        <v/>
      </c>
      <c r="D73" s="7">
        <f>INDEX(Quotes!$B$5:$B$19,MIN(MATCH($B73,Quotes!$B$5:$B$19,1)+1,15))</f>
        <v/>
      </c>
      <c r="E73" s="10">
        <f>IF($D73=$C73,0,($B73-$C73)/($D73-$C73))</f>
        <v/>
      </c>
      <c r="F73" s="11">
        <f>INDEX(Quotes!$C$5:$C$19,MATCH($B73,Quotes!$B$5:$B$19,1))+$E73*(INDEX(Quotes!$C$5:$C$19,MIN(MATCH($B73,Quotes!$B$5:$B$19,1)+1,15))-INDEX(Quotes!$C$5:$C$19,MATCH($B73,Quotes!$B$5:$B$19,1)))</f>
        <v/>
      </c>
      <c r="G73" s="6">
        <f>IF(COUNTIF(Quotes!$B$5:$B$19,$B73)&gt;0,"quote","interp")</f>
        <v/>
      </c>
    </row>
    <row r="74">
      <c r="A74" s="6" t="n">
        <v>70</v>
      </c>
      <c r="B74" s="7" t="n">
        <v>17.5</v>
      </c>
      <c r="C74" s="7">
        <f>INDEX(Quotes!$B$5:$B$19,MATCH($B74,Quotes!$B$5:$B$19,1))</f>
        <v/>
      </c>
      <c r="D74" s="7">
        <f>INDEX(Quotes!$B$5:$B$19,MIN(MATCH($B74,Quotes!$B$5:$B$19,1)+1,15))</f>
        <v/>
      </c>
      <c r="E74" s="10">
        <f>IF($D74=$C74,0,($B74-$C74)/($D74-$C74))</f>
        <v/>
      </c>
      <c r="F74" s="11">
        <f>INDEX(Quotes!$C$5:$C$19,MATCH($B74,Quotes!$B$5:$B$19,1))+$E74*(INDEX(Quotes!$C$5:$C$19,MIN(MATCH($B74,Quotes!$B$5:$B$19,1)+1,15))-INDEX(Quotes!$C$5:$C$19,MATCH($B74,Quotes!$B$5:$B$19,1)))</f>
        <v/>
      </c>
      <c r="G74" s="6">
        <f>IF(COUNTIF(Quotes!$B$5:$B$19,$B74)&gt;0,"quote","interp")</f>
        <v/>
      </c>
    </row>
    <row r="75">
      <c r="A75" s="6" t="n">
        <v>71</v>
      </c>
      <c r="B75" s="7" t="n">
        <v>17.75</v>
      </c>
      <c r="C75" s="7">
        <f>INDEX(Quotes!$B$5:$B$19,MATCH($B75,Quotes!$B$5:$B$19,1))</f>
        <v/>
      </c>
      <c r="D75" s="7">
        <f>INDEX(Quotes!$B$5:$B$19,MIN(MATCH($B75,Quotes!$B$5:$B$19,1)+1,15))</f>
        <v/>
      </c>
      <c r="E75" s="10">
        <f>IF($D75=$C75,0,($B75-$C75)/($D75-$C75))</f>
        <v/>
      </c>
      <c r="F75" s="11">
        <f>INDEX(Quotes!$C$5:$C$19,MATCH($B75,Quotes!$B$5:$B$19,1))+$E75*(INDEX(Quotes!$C$5:$C$19,MIN(MATCH($B75,Quotes!$B$5:$B$19,1)+1,15))-INDEX(Quotes!$C$5:$C$19,MATCH($B75,Quotes!$B$5:$B$19,1)))</f>
        <v/>
      </c>
      <c r="G75" s="6">
        <f>IF(COUNTIF(Quotes!$B$5:$B$19,$B75)&gt;0,"quote","interp")</f>
        <v/>
      </c>
    </row>
    <row r="76">
      <c r="A76" s="6" t="n">
        <v>72</v>
      </c>
      <c r="B76" s="7" t="n">
        <v>18</v>
      </c>
      <c r="C76" s="7">
        <f>INDEX(Quotes!$B$5:$B$19,MATCH($B76,Quotes!$B$5:$B$19,1))</f>
        <v/>
      </c>
      <c r="D76" s="7">
        <f>INDEX(Quotes!$B$5:$B$19,MIN(MATCH($B76,Quotes!$B$5:$B$19,1)+1,15))</f>
        <v/>
      </c>
      <c r="E76" s="10">
        <f>IF($D76=$C76,0,($B76-$C76)/($D76-$C76))</f>
        <v/>
      </c>
      <c r="F76" s="11">
        <f>INDEX(Quotes!$C$5:$C$19,MATCH($B76,Quotes!$B$5:$B$19,1))+$E76*(INDEX(Quotes!$C$5:$C$19,MIN(MATCH($B76,Quotes!$B$5:$B$19,1)+1,15))-INDEX(Quotes!$C$5:$C$19,MATCH($B76,Quotes!$B$5:$B$19,1)))</f>
        <v/>
      </c>
      <c r="G76" s="6">
        <f>IF(COUNTIF(Quotes!$B$5:$B$19,$B76)&gt;0,"quote","interp")</f>
        <v/>
      </c>
    </row>
    <row r="77">
      <c r="A77" s="6" t="n">
        <v>73</v>
      </c>
      <c r="B77" s="7" t="n">
        <v>18.25</v>
      </c>
      <c r="C77" s="7">
        <f>INDEX(Quotes!$B$5:$B$19,MATCH($B77,Quotes!$B$5:$B$19,1))</f>
        <v/>
      </c>
      <c r="D77" s="7">
        <f>INDEX(Quotes!$B$5:$B$19,MIN(MATCH($B77,Quotes!$B$5:$B$19,1)+1,15))</f>
        <v/>
      </c>
      <c r="E77" s="10">
        <f>IF($D77=$C77,0,($B77-$C77)/($D77-$C77))</f>
        <v/>
      </c>
      <c r="F77" s="11">
        <f>INDEX(Quotes!$C$5:$C$19,MATCH($B77,Quotes!$B$5:$B$19,1))+$E77*(INDEX(Quotes!$C$5:$C$19,MIN(MATCH($B77,Quotes!$B$5:$B$19,1)+1,15))-INDEX(Quotes!$C$5:$C$19,MATCH($B77,Quotes!$B$5:$B$19,1)))</f>
        <v/>
      </c>
      <c r="G77" s="6">
        <f>IF(COUNTIF(Quotes!$B$5:$B$19,$B77)&gt;0,"quote","interp")</f>
        <v/>
      </c>
    </row>
    <row r="78">
      <c r="A78" s="6" t="n">
        <v>74</v>
      </c>
      <c r="B78" s="7" t="n">
        <v>18.5</v>
      </c>
      <c r="C78" s="7">
        <f>INDEX(Quotes!$B$5:$B$19,MATCH($B78,Quotes!$B$5:$B$19,1))</f>
        <v/>
      </c>
      <c r="D78" s="7">
        <f>INDEX(Quotes!$B$5:$B$19,MIN(MATCH($B78,Quotes!$B$5:$B$19,1)+1,15))</f>
        <v/>
      </c>
      <c r="E78" s="10">
        <f>IF($D78=$C78,0,($B78-$C78)/($D78-$C78))</f>
        <v/>
      </c>
      <c r="F78" s="11">
        <f>INDEX(Quotes!$C$5:$C$19,MATCH($B78,Quotes!$B$5:$B$19,1))+$E78*(INDEX(Quotes!$C$5:$C$19,MIN(MATCH($B78,Quotes!$B$5:$B$19,1)+1,15))-INDEX(Quotes!$C$5:$C$19,MATCH($B78,Quotes!$B$5:$B$19,1)))</f>
        <v/>
      </c>
      <c r="G78" s="6">
        <f>IF(COUNTIF(Quotes!$B$5:$B$19,$B78)&gt;0,"quote","interp")</f>
        <v/>
      </c>
    </row>
    <row r="79">
      <c r="A79" s="6" t="n">
        <v>75</v>
      </c>
      <c r="B79" s="7" t="n">
        <v>18.75</v>
      </c>
      <c r="C79" s="7">
        <f>INDEX(Quotes!$B$5:$B$19,MATCH($B79,Quotes!$B$5:$B$19,1))</f>
        <v/>
      </c>
      <c r="D79" s="7">
        <f>INDEX(Quotes!$B$5:$B$19,MIN(MATCH($B79,Quotes!$B$5:$B$19,1)+1,15))</f>
        <v/>
      </c>
      <c r="E79" s="10">
        <f>IF($D79=$C79,0,($B79-$C79)/($D79-$C79))</f>
        <v/>
      </c>
      <c r="F79" s="11">
        <f>INDEX(Quotes!$C$5:$C$19,MATCH($B79,Quotes!$B$5:$B$19,1))+$E79*(INDEX(Quotes!$C$5:$C$19,MIN(MATCH($B79,Quotes!$B$5:$B$19,1)+1,15))-INDEX(Quotes!$C$5:$C$19,MATCH($B79,Quotes!$B$5:$B$19,1)))</f>
        <v/>
      </c>
      <c r="G79" s="6">
        <f>IF(COUNTIF(Quotes!$B$5:$B$19,$B79)&gt;0,"quote","interp")</f>
        <v/>
      </c>
    </row>
    <row r="80">
      <c r="A80" s="6" t="n">
        <v>76</v>
      </c>
      <c r="B80" s="7" t="n">
        <v>19</v>
      </c>
      <c r="C80" s="7">
        <f>INDEX(Quotes!$B$5:$B$19,MATCH($B80,Quotes!$B$5:$B$19,1))</f>
        <v/>
      </c>
      <c r="D80" s="7">
        <f>INDEX(Quotes!$B$5:$B$19,MIN(MATCH($B80,Quotes!$B$5:$B$19,1)+1,15))</f>
        <v/>
      </c>
      <c r="E80" s="10">
        <f>IF($D80=$C80,0,($B80-$C80)/($D80-$C80))</f>
        <v/>
      </c>
      <c r="F80" s="11">
        <f>INDEX(Quotes!$C$5:$C$19,MATCH($B80,Quotes!$B$5:$B$19,1))+$E80*(INDEX(Quotes!$C$5:$C$19,MIN(MATCH($B80,Quotes!$B$5:$B$19,1)+1,15))-INDEX(Quotes!$C$5:$C$19,MATCH($B80,Quotes!$B$5:$B$19,1)))</f>
        <v/>
      </c>
      <c r="G80" s="6">
        <f>IF(COUNTIF(Quotes!$B$5:$B$19,$B80)&gt;0,"quote","interp")</f>
        <v/>
      </c>
    </row>
    <row r="81">
      <c r="A81" s="6" t="n">
        <v>77</v>
      </c>
      <c r="B81" s="7" t="n">
        <v>19.25</v>
      </c>
      <c r="C81" s="7">
        <f>INDEX(Quotes!$B$5:$B$19,MATCH($B81,Quotes!$B$5:$B$19,1))</f>
        <v/>
      </c>
      <c r="D81" s="7">
        <f>INDEX(Quotes!$B$5:$B$19,MIN(MATCH($B81,Quotes!$B$5:$B$19,1)+1,15))</f>
        <v/>
      </c>
      <c r="E81" s="10">
        <f>IF($D81=$C81,0,($B81-$C81)/($D81-$C81))</f>
        <v/>
      </c>
      <c r="F81" s="11">
        <f>INDEX(Quotes!$C$5:$C$19,MATCH($B81,Quotes!$B$5:$B$19,1))+$E81*(INDEX(Quotes!$C$5:$C$19,MIN(MATCH($B81,Quotes!$B$5:$B$19,1)+1,15))-INDEX(Quotes!$C$5:$C$19,MATCH($B81,Quotes!$B$5:$B$19,1)))</f>
        <v/>
      </c>
      <c r="G81" s="6">
        <f>IF(COUNTIF(Quotes!$B$5:$B$19,$B81)&gt;0,"quote","interp")</f>
        <v/>
      </c>
    </row>
    <row r="82">
      <c r="A82" s="6" t="n">
        <v>78</v>
      </c>
      <c r="B82" s="7" t="n">
        <v>19.5</v>
      </c>
      <c r="C82" s="7">
        <f>INDEX(Quotes!$B$5:$B$19,MATCH($B82,Quotes!$B$5:$B$19,1))</f>
        <v/>
      </c>
      <c r="D82" s="7">
        <f>INDEX(Quotes!$B$5:$B$19,MIN(MATCH($B82,Quotes!$B$5:$B$19,1)+1,15))</f>
        <v/>
      </c>
      <c r="E82" s="10">
        <f>IF($D82=$C82,0,($B82-$C82)/($D82-$C82))</f>
        <v/>
      </c>
      <c r="F82" s="11">
        <f>INDEX(Quotes!$C$5:$C$19,MATCH($B82,Quotes!$B$5:$B$19,1))+$E82*(INDEX(Quotes!$C$5:$C$19,MIN(MATCH($B82,Quotes!$B$5:$B$19,1)+1,15))-INDEX(Quotes!$C$5:$C$19,MATCH($B82,Quotes!$B$5:$B$19,1)))</f>
        <v/>
      </c>
      <c r="G82" s="6">
        <f>IF(COUNTIF(Quotes!$B$5:$B$19,$B82)&gt;0,"quote","interp")</f>
        <v/>
      </c>
    </row>
    <row r="83">
      <c r="A83" s="6" t="n">
        <v>79</v>
      </c>
      <c r="B83" s="7" t="n">
        <v>19.75</v>
      </c>
      <c r="C83" s="7">
        <f>INDEX(Quotes!$B$5:$B$19,MATCH($B83,Quotes!$B$5:$B$19,1))</f>
        <v/>
      </c>
      <c r="D83" s="7">
        <f>INDEX(Quotes!$B$5:$B$19,MIN(MATCH($B83,Quotes!$B$5:$B$19,1)+1,15))</f>
        <v/>
      </c>
      <c r="E83" s="10">
        <f>IF($D83=$C83,0,($B83-$C83)/($D83-$C83))</f>
        <v/>
      </c>
      <c r="F83" s="11">
        <f>INDEX(Quotes!$C$5:$C$19,MATCH($B83,Quotes!$B$5:$B$19,1))+$E83*(INDEX(Quotes!$C$5:$C$19,MIN(MATCH($B83,Quotes!$B$5:$B$19,1)+1,15))-INDEX(Quotes!$C$5:$C$19,MATCH($B83,Quotes!$B$5:$B$19,1)))</f>
        <v/>
      </c>
      <c r="G83" s="6">
        <f>IF(COUNTIF(Quotes!$B$5:$B$19,$B83)&gt;0,"quote","interp")</f>
        <v/>
      </c>
    </row>
    <row r="84">
      <c r="A84" s="6" t="n">
        <v>80</v>
      </c>
      <c r="B84" s="7" t="n">
        <v>20</v>
      </c>
      <c r="C84" s="7">
        <f>INDEX(Quotes!$B$5:$B$19,MATCH($B84,Quotes!$B$5:$B$19,1))</f>
        <v/>
      </c>
      <c r="D84" s="7">
        <f>INDEX(Quotes!$B$5:$B$19,MIN(MATCH($B84,Quotes!$B$5:$B$19,1)+1,15))</f>
        <v/>
      </c>
      <c r="E84" s="10">
        <f>IF($D84=$C84,0,($B84-$C84)/($D84-$C84))</f>
        <v/>
      </c>
      <c r="F84" s="11">
        <f>INDEX(Quotes!$C$5:$C$19,MATCH($B84,Quotes!$B$5:$B$19,1))+$E84*(INDEX(Quotes!$C$5:$C$19,MIN(MATCH($B84,Quotes!$B$5:$B$19,1)+1,15))-INDEX(Quotes!$C$5:$C$19,MATCH($B84,Quotes!$B$5:$B$19,1)))</f>
        <v/>
      </c>
      <c r="G84" s="6">
        <f>IF(COUNTIF(Quotes!$B$5:$B$19,$B84)&gt;0,"quote","interp")</f>
        <v/>
      </c>
    </row>
    <row r="85">
      <c r="A85" s="6" t="n">
        <v>81</v>
      </c>
      <c r="B85" s="7" t="n">
        <v>20.25</v>
      </c>
      <c r="C85" s="7">
        <f>INDEX(Quotes!$B$5:$B$19,MATCH($B85,Quotes!$B$5:$B$19,1))</f>
        <v/>
      </c>
      <c r="D85" s="7">
        <f>INDEX(Quotes!$B$5:$B$19,MIN(MATCH($B85,Quotes!$B$5:$B$19,1)+1,15))</f>
        <v/>
      </c>
      <c r="E85" s="10">
        <f>IF($D85=$C85,0,($B85-$C85)/($D85-$C85))</f>
        <v/>
      </c>
      <c r="F85" s="11">
        <f>INDEX(Quotes!$C$5:$C$19,MATCH($B85,Quotes!$B$5:$B$19,1))+$E85*(INDEX(Quotes!$C$5:$C$19,MIN(MATCH($B85,Quotes!$B$5:$B$19,1)+1,15))-INDEX(Quotes!$C$5:$C$19,MATCH($B85,Quotes!$B$5:$B$19,1)))</f>
        <v/>
      </c>
      <c r="G85" s="6">
        <f>IF(COUNTIF(Quotes!$B$5:$B$19,$B85)&gt;0,"quote","interp")</f>
        <v/>
      </c>
    </row>
    <row r="86">
      <c r="A86" s="6" t="n">
        <v>82</v>
      </c>
      <c r="B86" s="7" t="n">
        <v>20.5</v>
      </c>
      <c r="C86" s="7">
        <f>INDEX(Quotes!$B$5:$B$19,MATCH($B86,Quotes!$B$5:$B$19,1))</f>
        <v/>
      </c>
      <c r="D86" s="7">
        <f>INDEX(Quotes!$B$5:$B$19,MIN(MATCH($B86,Quotes!$B$5:$B$19,1)+1,15))</f>
        <v/>
      </c>
      <c r="E86" s="10">
        <f>IF($D86=$C86,0,($B86-$C86)/($D86-$C86))</f>
        <v/>
      </c>
      <c r="F86" s="11">
        <f>INDEX(Quotes!$C$5:$C$19,MATCH($B86,Quotes!$B$5:$B$19,1))+$E86*(INDEX(Quotes!$C$5:$C$19,MIN(MATCH($B86,Quotes!$B$5:$B$19,1)+1,15))-INDEX(Quotes!$C$5:$C$19,MATCH($B86,Quotes!$B$5:$B$19,1)))</f>
        <v/>
      </c>
      <c r="G86" s="6">
        <f>IF(COUNTIF(Quotes!$B$5:$B$19,$B86)&gt;0,"quote","interp")</f>
        <v/>
      </c>
    </row>
    <row r="87">
      <c r="A87" s="6" t="n">
        <v>83</v>
      </c>
      <c r="B87" s="7" t="n">
        <v>20.75</v>
      </c>
      <c r="C87" s="7">
        <f>INDEX(Quotes!$B$5:$B$19,MATCH($B87,Quotes!$B$5:$B$19,1))</f>
        <v/>
      </c>
      <c r="D87" s="7">
        <f>INDEX(Quotes!$B$5:$B$19,MIN(MATCH($B87,Quotes!$B$5:$B$19,1)+1,15))</f>
        <v/>
      </c>
      <c r="E87" s="10">
        <f>IF($D87=$C87,0,($B87-$C87)/($D87-$C87))</f>
        <v/>
      </c>
      <c r="F87" s="11">
        <f>INDEX(Quotes!$C$5:$C$19,MATCH($B87,Quotes!$B$5:$B$19,1))+$E87*(INDEX(Quotes!$C$5:$C$19,MIN(MATCH($B87,Quotes!$B$5:$B$19,1)+1,15))-INDEX(Quotes!$C$5:$C$19,MATCH($B87,Quotes!$B$5:$B$19,1)))</f>
        <v/>
      </c>
      <c r="G87" s="6">
        <f>IF(COUNTIF(Quotes!$B$5:$B$19,$B87)&gt;0,"quote","interp")</f>
        <v/>
      </c>
    </row>
    <row r="88">
      <c r="A88" s="6" t="n">
        <v>84</v>
      </c>
      <c r="B88" s="7" t="n">
        <v>21</v>
      </c>
      <c r="C88" s="7">
        <f>INDEX(Quotes!$B$5:$B$19,MATCH($B88,Quotes!$B$5:$B$19,1))</f>
        <v/>
      </c>
      <c r="D88" s="7">
        <f>INDEX(Quotes!$B$5:$B$19,MIN(MATCH($B88,Quotes!$B$5:$B$19,1)+1,15))</f>
        <v/>
      </c>
      <c r="E88" s="10">
        <f>IF($D88=$C88,0,($B88-$C88)/($D88-$C88))</f>
        <v/>
      </c>
      <c r="F88" s="11">
        <f>INDEX(Quotes!$C$5:$C$19,MATCH($B88,Quotes!$B$5:$B$19,1))+$E88*(INDEX(Quotes!$C$5:$C$19,MIN(MATCH($B88,Quotes!$B$5:$B$19,1)+1,15))-INDEX(Quotes!$C$5:$C$19,MATCH($B88,Quotes!$B$5:$B$19,1)))</f>
        <v/>
      </c>
      <c r="G88" s="6">
        <f>IF(COUNTIF(Quotes!$B$5:$B$19,$B88)&gt;0,"quote","interp")</f>
        <v/>
      </c>
    </row>
    <row r="89">
      <c r="A89" s="6" t="n">
        <v>85</v>
      </c>
      <c r="B89" s="7" t="n">
        <v>21.25</v>
      </c>
      <c r="C89" s="7">
        <f>INDEX(Quotes!$B$5:$B$19,MATCH($B89,Quotes!$B$5:$B$19,1))</f>
        <v/>
      </c>
      <c r="D89" s="7">
        <f>INDEX(Quotes!$B$5:$B$19,MIN(MATCH($B89,Quotes!$B$5:$B$19,1)+1,15))</f>
        <v/>
      </c>
      <c r="E89" s="10">
        <f>IF($D89=$C89,0,($B89-$C89)/($D89-$C89))</f>
        <v/>
      </c>
      <c r="F89" s="11">
        <f>INDEX(Quotes!$C$5:$C$19,MATCH($B89,Quotes!$B$5:$B$19,1))+$E89*(INDEX(Quotes!$C$5:$C$19,MIN(MATCH($B89,Quotes!$B$5:$B$19,1)+1,15))-INDEX(Quotes!$C$5:$C$19,MATCH($B89,Quotes!$B$5:$B$19,1)))</f>
        <v/>
      </c>
      <c r="G89" s="6">
        <f>IF(COUNTIF(Quotes!$B$5:$B$19,$B89)&gt;0,"quote","interp")</f>
        <v/>
      </c>
    </row>
    <row r="90">
      <c r="A90" s="6" t="n">
        <v>86</v>
      </c>
      <c r="B90" s="7" t="n">
        <v>21.5</v>
      </c>
      <c r="C90" s="7">
        <f>INDEX(Quotes!$B$5:$B$19,MATCH($B90,Quotes!$B$5:$B$19,1))</f>
        <v/>
      </c>
      <c r="D90" s="7">
        <f>INDEX(Quotes!$B$5:$B$19,MIN(MATCH($B90,Quotes!$B$5:$B$19,1)+1,15))</f>
        <v/>
      </c>
      <c r="E90" s="10">
        <f>IF($D90=$C90,0,($B90-$C90)/($D90-$C90))</f>
        <v/>
      </c>
      <c r="F90" s="11">
        <f>INDEX(Quotes!$C$5:$C$19,MATCH($B90,Quotes!$B$5:$B$19,1))+$E90*(INDEX(Quotes!$C$5:$C$19,MIN(MATCH($B90,Quotes!$B$5:$B$19,1)+1,15))-INDEX(Quotes!$C$5:$C$19,MATCH($B90,Quotes!$B$5:$B$19,1)))</f>
        <v/>
      </c>
      <c r="G90" s="6">
        <f>IF(COUNTIF(Quotes!$B$5:$B$19,$B90)&gt;0,"quote","interp")</f>
        <v/>
      </c>
    </row>
    <row r="91">
      <c r="A91" s="6" t="n">
        <v>87</v>
      </c>
      <c r="B91" s="7" t="n">
        <v>21.75</v>
      </c>
      <c r="C91" s="7">
        <f>INDEX(Quotes!$B$5:$B$19,MATCH($B91,Quotes!$B$5:$B$19,1))</f>
        <v/>
      </c>
      <c r="D91" s="7">
        <f>INDEX(Quotes!$B$5:$B$19,MIN(MATCH($B91,Quotes!$B$5:$B$19,1)+1,15))</f>
        <v/>
      </c>
      <c r="E91" s="10">
        <f>IF($D91=$C91,0,($B91-$C91)/($D91-$C91))</f>
        <v/>
      </c>
      <c r="F91" s="11">
        <f>INDEX(Quotes!$C$5:$C$19,MATCH($B91,Quotes!$B$5:$B$19,1))+$E91*(INDEX(Quotes!$C$5:$C$19,MIN(MATCH($B91,Quotes!$B$5:$B$19,1)+1,15))-INDEX(Quotes!$C$5:$C$19,MATCH($B91,Quotes!$B$5:$B$19,1)))</f>
        <v/>
      </c>
      <c r="G91" s="6">
        <f>IF(COUNTIF(Quotes!$B$5:$B$19,$B91)&gt;0,"quote","interp")</f>
        <v/>
      </c>
    </row>
    <row r="92">
      <c r="A92" s="6" t="n">
        <v>88</v>
      </c>
      <c r="B92" s="7" t="n">
        <v>22</v>
      </c>
      <c r="C92" s="7">
        <f>INDEX(Quotes!$B$5:$B$19,MATCH($B92,Quotes!$B$5:$B$19,1))</f>
        <v/>
      </c>
      <c r="D92" s="7">
        <f>INDEX(Quotes!$B$5:$B$19,MIN(MATCH($B92,Quotes!$B$5:$B$19,1)+1,15))</f>
        <v/>
      </c>
      <c r="E92" s="10">
        <f>IF($D92=$C92,0,($B92-$C92)/($D92-$C92))</f>
        <v/>
      </c>
      <c r="F92" s="11">
        <f>INDEX(Quotes!$C$5:$C$19,MATCH($B92,Quotes!$B$5:$B$19,1))+$E92*(INDEX(Quotes!$C$5:$C$19,MIN(MATCH($B92,Quotes!$B$5:$B$19,1)+1,15))-INDEX(Quotes!$C$5:$C$19,MATCH($B92,Quotes!$B$5:$B$19,1)))</f>
        <v/>
      </c>
      <c r="G92" s="6">
        <f>IF(COUNTIF(Quotes!$B$5:$B$19,$B92)&gt;0,"quote","interp")</f>
        <v/>
      </c>
    </row>
    <row r="93">
      <c r="A93" s="6" t="n">
        <v>89</v>
      </c>
      <c r="B93" s="7" t="n">
        <v>22.25</v>
      </c>
      <c r="C93" s="7">
        <f>INDEX(Quotes!$B$5:$B$19,MATCH($B93,Quotes!$B$5:$B$19,1))</f>
        <v/>
      </c>
      <c r="D93" s="7">
        <f>INDEX(Quotes!$B$5:$B$19,MIN(MATCH($B93,Quotes!$B$5:$B$19,1)+1,15))</f>
        <v/>
      </c>
      <c r="E93" s="10">
        <f>IF($D93=$C93,0,($B93-$C93)/($D93-$C93))</f>
        <v/>
      </c>
      <c r="F93" s="11">
        <f>INDEX(Quotes!$C$5:$C$19,MATCH($B93,Quotes!$B$5:$B$19,1))+$E93*(INDEX(Quotes!$C$5:$C$19,MIN(MATCH($B93,Quotes!$B$5:$B$19,1)+1,15))-INDEX(Quotes!$C$5:$C$19,MATCH($B93,Quotes!$B$5:$B$19,1)))</f>
        <v/>
      </c>
      <c r="G93" s="6">
        <f>IF(COUNTIF(Quotes!$B$5:$B$19,$B93)&gt;0,"quote","interp")</f>
        <v/>
      </c>
    </row>
    <row r="94">
      <c r="A94" s="6" t="n">
        <v>90</v>
      </c>
      <c r="B94" s="7" t="n">
        <v>22.5</v>
      </c>
      <c r="C94" s="7">
        <f>INDEX(Quotes!$B$5:$B$19,MATCH($B94,Quotes!$B$5:$B$19,1))</f>
        <v/>
      </c>
      <c r="D94" s="7">
        <f>INDEX(Quotes!$B$5:$B$19,MIN(MATCH($B94,Quotes!$B$5:$B$19,1)+1,15))</f>
        <v/>
      </c>
      <c r="E94" s="10">
        <f>IF($D94=$C94,0,($B94-$C94)/($D94-$C94))</f>
        <v/>
      </c>
      <c r="F94" s="11">
        <f>INDEX(Quotes!$C$5:$C$19,MATCH($B94,Quotes!$B$5:$B$19,1))+$E94*(INDEX(Quotes!$C$5:$C$19,MIN(MATCH($B94,Quotes!$B$5:$B$19,1)+1,15))-INDEX(Quotes!$C$5:$C$19,MATCH($B94,Quotes!$B$5:$B$19,1)))</f>
        <v/>
      </c>
      <c r="G94" s="6">
        <f>IF(COUNTIF(Quotes!$B$5:$B$19,$B94)&gt;0,"quote","interp")</f>
        <v/>
      </c>
    </row>
    <row r="95">
      <c r="A95" s="6" t="n">
        <v>91</v>
      </c>
      <c r="B95" s="7" t="n">
        <v>22.75</v>
      </c>
      <c r="C95" s="7">
        <f>INDEX(Quotes!$B$5:$B$19,MATCH($B95,Quotes!$B$5:$B$19,1))</f>
        <v/>
      </c>
      <c r="D95" s="7">
        <f>INDEX(Quotes!$B$5:$B$19,MIN(MATCH($B95,Quotes!$B$5:$B$19,1)+1,15))</f>
        <v/>
      </c>
      <c r="E95" s="10">
        <f>IF($D95=$C95,0,($B95-$C95)/($D95-$C95))</f>
        <v/>
      </c>
      <c r="F95" s="11">
        <f>INDEX(Quotes!$C$5:$C$19,MATCH($B95,Quotes!$B$5:$B$19,1))+$E95*(INDEX(Quotes!$C$5:$C$19,MIN(MATCH($B95,Quotes!$B$5:$B$19,1)+1,15))-INDEX(Quotes!$C$5:$C$19,MATCH($B95,Quotes!$B$5:$B$19,1)))</f>
        <v/>
      </c>
      <c r="G95" s="6">
        <f>IF(COUNTIF(Quotes!$B$5:$B$19,$B95)&gt;0,"quote","interp")</f>
        <v/>
      </c>
    </row>
    <row r="96">
      <c r="A96" s="6" t="n">
        <v>92</v>
      </c>
      <c r="B96" s="7" t="n">
        <v>23</v>
      </c>
      <c r="C96" s="7">
        <f>INDEX(Quotes!$B$5:$B$19,MATCH($B96,Quotes!$B$5:$B$19,1))</f>
        <v/>
      </c>
      <c r="D96" s="7">
        <f>INDEX(Quotes!$B$5:$B$19,MIN(MATCH($B96,Quotes!$B$5:$B$19,1)+1,15))</f>
        <v/>
      </c>
      <c r="E96" s="10">
        <f>IF($D96=$C96,0,($B96-$C96)/($D96-$C96))</f>
        <v/>
      </c>
      <c r="F96" s="11">
        <f>INDEX(Quotes!$C$5:$C$19,MATCH($B96,Quotes!$B$5:$B$19,1))+$E96*(INDEX(Quotes!$C$5:$C$19,MIN(MATCH($B96,Quotes!$B$5:$B$19,1)+1,15))-INDEX(Quotes!$C$5:$C$19,MATCH($B96,Quotes!$B$5:$B$19,1)))</f>
        <v/>
      </c>
      <c r="G96" s="6">
        <f>IF(COUNTIF(Quotes!$B$5:$B$19,$B96)&gt;0,"quote","interp")</f>
        <v/>
      </c>
    </row>
    <row r="97">
      <c r="A97" s="6" t="n">
        <v>93</v>
      </c>
      <c r="B97" s="7" t="n">
        <v>23.25</v>
      </c>
      <c r="C97" s="7">
        <f>INDEX(Quotes!$B$5:$B$19,MATCH($B97,Quotes!$B$5:$B$19,1))</f>
        <v/>
      </c>
      <c r="D97" s="7">
        <f>INDEX(Quotes!$B$5:$B$19,MIN(MATCH($B97,Quotes!$B$5:$B$19,1)+1,15))</f>
        <v/>
      </c>
      <c r="E97" s="10">
        <f>IF($D97=$C97,0,($B97-$C97)/($D97-$C97))</f>
        <v/>
      </c>
      <c r="F97" s="11">
        <f>INDEX(Quotes!$C$5:$C$19,MATCH($B97,Quotes!$B$5:$B$19,1))+$E97*(INDEX(Quotes!$C$5:$C$19,MIN(MATCH($B97,Quotes!$B$5:$B$19,1)+1,15))-INDEX(Quotes!$C$5:$C$19,MATCH($B97,Quotes!$B$5:$B$19,1)))</f>
        <v/>
      </c>
      <c r="G97" s="6">
        <f>IF(COUNTIF(Quotes!$B$5:$B$19,$B97)&gt;0,"quote","interp")</f>
        <v/>
      </c>
    </row>
    <row r="98">
      <c r="A98" s="6" t="n">
        <v>94</v>
      </c>
      <c r="B98" s="7" t="n">
        <v>23.5</v>
      </c>
      <c r="C98" s="7">
        <f>INDEX(Quotes!$B$5:$B$19,MATCH($B98,Quotes!$B$5:$B$19,1))</f>
        <v/>
      </c>
      <c r="D98" s="7">
        <f>INDEX(Quotes!$B$5:$B$19,MIN(MATCH($B98,Quotes!$B$5:$B$19,1)+1,15))</f>
        <v/>
      </c>
      <c r="E98" s="10">
        <f>IF($D98=$C98,0,($B98-$C98)/($D98-$C98))</f>
        <v/>
      </c>
      <c r="F98" s="11">
        <f>INDEX(Quotes!$C$5:$C$19,MATCH($B98,Quotes!$B$5:$B$19,1))+$E98*(INDEX(Quotes!$C$5:$C$19,MIN(MATCH($B98,Quotes!$B$5:$B$19,1)+1,15))-INDEX(Quotes!$C$5:$C$19,MATCH($B98,Quotes!$B$5:$B$19,1)))</f>
        <v/>
      </c>
      <c r="G98" s="6">
        <f>IF(COUNTIF(Quotes!$B$5:$B$19,$B98)&gt;0,"quote","interp")</f>
        <v/>
      </c>
    </row>
    <row r="99">
      <c r="A99" s="6" t="n">
        <v>95</v>
      </c>
      <c r="B99" s="7" t="n">
        <v>23.75</v>
      </c>
      <c r="C99" s="7">
        <f>INDEX(Quotes!$B$5:$B$19,MATCH($B99,Quotes!$B$5:$B$19,1))</f>
        <v/>
      </c>
      <c r="D99" s="7">
        <f>INDEX(Quotes!$B$5:$B$19,MIN(MATCH($B99,Quotes!$B$5:$B$19,1)+1,15))</f>
        <v/>
      </c>
      <c r="E99" s="10">
        <f>IF($D99=$C99,0,($B99-$C99)/($D99-$C99))</f>
        <v/>
      </c>
      <c r="F99" s="11">
        <f>INDEX(Quotes!$C$5:$C$19,MATCH($B99,Quotes!$B$5:$B$19,1))+$E99*(INDEX(Quotes!$C$5:$C$19,MIN(MATCH($B99,Quotes!$B$5:$B$19,1)+1,15))-INDEX(Quotes!$C$5:$C$19,MATCH($B99,Quotes!$B$5:$B$19,1)))</f>
        <v/>
      </c>
      <c r="G99" s="6">
        <f>IF(COUNTIF(Quotes!$B$5:$B$19,$B99)&gt;0,"quote","interp")</f>
        <v/>
      </c>
    </row>
    <row r="100">
      <c r="A100" s="6" t="n">
        <v>96</v>
      </c>
      <c r="B100" s="7" t="n">
        <v>24</v>
      </c>
      <c r="C100" s="7">
        <f>INDEX(Quotes!$B$5:$B$19,MATCH($B100,Quotes!$B$5:$B$19,1))</f>
        <v/>
      </c>
      <c r="D100" s="7">
        <f>INDEX(Quotes!$B$5:$B$19,MIN(MATCH($B100,Quotes!$B$5:$B$19,1)+1,15))</f>
        <v/>
      </c>
      <c r="E100" s="10">
        <f>IF($D100=$C100,0,($B100-$C100)/($D100-$C100))</f>
        <v/>
      </c>
      <c r="F100" s="11">
        <f>INDEX(Quotes!$C$5:$C$19,MATCH($B100,Quotes!$B$5:$B$19,1))+$E100*(INDEX(Quotes!$C$5:$C$19,MIN(MATCH($B100,Quotes!$B$5:$B$19,1)+1,15))-INDEX(Quotes!$C$5:$C$19,MATCH($B100,Quotes!$B$5:$B$19,1)))</f>
        <v/>
      </c>
      <c r="G100" s="6">
        <f>IF(COUNTIF(Quotes!$B$5:$B$19,$B100)&gt;0,"quote","interp")</f>
        <v/>
      </c>
    </row>
    <row r="101">
      <c r="A101" s="6" t="n">
        <v>97</v>
      </c>
      <c r="B101" s="7" t="n">
        <v>24.25</v>
      </c>
      <c r="C101" s="7">
        <f>INDEX(Quotes!$B$5:$B$19,MATCH($B101,Quotes!$B$5:$B$19,1))</f>
        <v/>
      </c>
      <c r="D101" s="7">
        <f>INDEX(Quotes!$B$5:$B$19,MIN(MATCH($B101,Quotes!$B$5:$B$19,1)+1,15))</f>
        <v/>
      </c>
      <c r="E101" s="10">
        <f>IF($D101=$C101,0,($B101-$C101)/($D101-$C101))</f>
        <v/>
      </c>
      <c r="F101" s="11">
        <f>INDEX(Quotes!$C$5:$C$19,MATCH($B101,Quotes!$B$5:$B$19,1))+$E101*(INDEX(Quotes!$C$5:$C$19,MIN(MATCH($B101,Quotes!$B$5:$B$19,1)+1,15))-INDEX(Quotes!$C$5:$C$19,MATCH($B101,Quotes!$B$5:$B$19,1)))</f>
        <v/>
      </c>
      <c r="G101" s="6">
        <f>IF(COUNTIF(Quotes!$B$5:$B$19,$B101)&gt;0,"quote","interp")</f>
        <v/>
      </c>
    </row>
    <row r="102">
      <c r="A102" s="6" t="n">
        <v>98</v>
      </c>
      <c r="B102" s="7" t="n">
        <v>24.5</v>
      </c>
      <c r="C102" s="7">
        <f>INDEX(Quotes!$B$5:$B$19,MATCH($B102,Quotes!$B$5:$B$19,1))</f>
        <v/>
      </c>
      <c r="D102" s="7">
        <f>INDEX(Quotes!$B$5:$B$19,MIN(MATCH($B102,Quotes!$B$5:$B$19,1)+1,15))</f>
        <v/>
      </c>
      <c r="E102" s="10">
        <f>IF($D102=$C102,0,($B102-$C102)/($D102-$C102))</f>
        <v/>
      </c>
      <c r="F102" s="11">
        <f>INDEX(Quotes!$C$5:$C$19,MATCH($B102,Quotes!$B$5:$B$19,1))+$E102*(INDEX(Quotes!$C$5:$C$19,MIN(MATCH($B102,Quotes!$B$5:$B$19,1)+1,15))-INDEX(Quotes!$C$5:$C$19,MATCH($B102,Quotes!$B$5:$B$19,1)))</f>
        <v/>
      </c>
      <c r="G102" s="6">
        <f>IF(COUNTIF(Quotes!$B$5:$B$19,$B102)&gt;0,"quote","interp")</f>
        <v/>
      </c>
    </row>
    <row r="103">
      <c r="A103" s="6" t="n">
        <v>99</v>
      </c>
      <c r="B103" s="7" t="n">
        <v>24.75</v>
      </c>
      <c r="C103" s="7">
        <f>INDEX(Quotes!$B$5:$B$19,MATCH($B103,Quotes!$B$5:$B$19,1))</f>
        <v/>
      </c>
      <c r="D103" s="7">
        <f>INDEX(Quotes!$B$5:$B$19,MIN(MATCH($B103,Quotes!$B$5:$B$19,1)+1,15))</f>
        <v/>
      </c>
      <c r="E103" s="10">
        <f>IF($D103=$C103,0,($B103-$C103)/($D103-$C103))</f>
        <v/>
      </c>
      <c r="F103" s="11">
        <f>INDEX(Quotes!$C$5:$C$19,MATCH($B103,Quotes!$B$5:$B$19,1))+$E103*(INDEX(Quotes!$C$5:$C$19,MIN(MATCH($B103,Quotes!$B$5:$B$19,1)+1,15))-INDEX(Quotes!$C$5:$C$19,MATCH($B103,Quotes!$B$5:$B$19,1)))</f>
        <v/>
      </c>
      <c r="G103" s="6">
        <f>IF(COUNTIF(Quotes!$B$5:$B$19,$B103)&gt;0,"quote","interp")</f>
        <v/>
      </c>
    </row>
    <row r="104">
      <c r="A104" s="6" t="n">
        <v>100</v>
      </c>
      <c r="B104" s="7" t="n">
        <v>25</v>
      </c>
      <c r="C104" s="7">
        <f>INDEX(Quotes!$B$5:$B$19,MATCH($B104,Quotes!$B$5:$B$19,1))</f>
        <v/>
      </c>
      <c r="D104" s="7">
        <f>INDEX(Quotes!$B$5:$B$19,MIN(MATCH($B104,Quotes!$B$5:$B$19,1)+1,15))</f>
        <v/>
      </c>
      <c r="E104" s="10">
        <f>IF($D104=$C104,0,($B104-$C104)/($D104-$C104))</f>
        <v/>
      </c>
      <c r="F104" s="11">
        <f>INDEX(Quotes!$C$5:$C$19,MATCH($B104,Quotes!$B$5:$B$19,1))+$E104*(INDEX(Quotes!$C$5:$C$19,MIN(MATCH($B104,Quotes!$B$5:$B$19,1)+1,15))-INDEX(Quotes!$C$5:$C$19,MATCH($B104,Quotes!$B$5:$B$19,1)))</f>
        <v/>
      </c>
      <c r="G104" s="6">
        <f>IF(COUNTIF(Quotes!$B$5:$B$19,$B104)&gt;0,"quote","interp")</f>
        <v/>
      </c>
    </row>
    <row r="105">
      <c r="A105" s="6" t="n">
        <v>101</v>
      </c>
      <c r="B105" s="7" t="n">
        <v>25.25</v>
      </c>
      <c r="C105" s="7">
        <f>INDEX(Quotes!$B$5:$B$19,MATCH($B105,Quotes!$B$5:$B$19,1))</f>
        <v/>
      </c>
      <c r="D105" s="7">
        <f>INDEX(Quotes!$B$5:$B$19,MIN(MATCH($B105,Quotes!$B$5:$B$19,1)+1,15))</f>
        <v/>
      </c>
      <c r="E105" s="10">
        <f>IF($D105=$C105,0,($B105-$C105)/($D105-$C105))</f>
        <v/>
      </c>
      <c r="F105" s="11">
        <f>INDEX(Quotes!$C$5:$C$19,MATCH($B105,Quotes!$B$5:$B$19,1))+$E105*(INDEX(Quotes!$C$5:$C$19,MIN(MATCH($B105,Quotes!$B$5:$B$19,1)+1,15))-INDEX(Quotes!$C$5:$C$19,MATCH($B105,Quotes!$B$5:$B$19,1)))</f>
        <v/>
      </c>
      <c r="G105" s="6">
        <f>IF(COUNTIF(Quotes!$B$5:$B$19,$B105)&gt;0,"quote","interp")</f>
        <v/>
      </c>
    </row>
    <row r="106">
      <c r="A106" s="6" t="n">
        <v>102</v>
      </c>
      <c r="B106" s="7" t="n">
        <v>25.5</v>
      </c>
      <c r="C106" s="7">
        <f>INDEX(Quotes!$B$5:$B$19,MATCH($B106,Quotes!$B$5:$B$19,1))</f>
        <v/>
      </c>
      <c r="D106" s="7">
        <f>INDEX(Quotes!$B$5:$B$19,MIN(MATCH($B106,Quotes!$B$5:$B$19,1)+1,15))</f>
        <v/>
      </c>
      <c r="E106" s="10">
        <f>IF($D106=$C106,0,($B106-$C106)/($D106-$C106))</f>
        <v/>
      </c>
      <c r="F106" s="11">
        <f>INDEX(Quotes!$C$5:$C$19,MATCH($B106,Quotes!$B$5:$B$19,1))+$E106*(INDEX(Quotes!$C$5:$C$19,MIN(MATCH($B106,Quotes!$B$5:$B$19,1)+1,15))-INDEX(Quotes!$C$5:$C$19,MATCH($B106,Quotes!$B$5:$B$19,1)))</f>
        <v/>
      </c>
      <c r="G106" s="6">
        <f>IF(COUNTIF(Quotes!$B$5:$B$19,$B106)&gt;0,"quote","interp")</f>
        <v/>
      </c>
    </row>
    <row r="107">
      <c r="A107" s="6" t="n">
        <v>103</v>
      </c>
      <c r="B107" s="7" t="n">
        <v>25.75</v>
      </c>
      <c r="C107" s="7">
        <f>INDEX(Quotes!$B$5:$B$19,MATCH($B107,Quotes!$B$5:$B$19,1))</f>
        <v/>
      </c>
      <c r="D107" s="7">
        <f>INDEX(Quotes!$B$5:$B$19,MIN(MATCH($B107,Quotes!$B$5:$B$19,1)+1,15))</f>
        <v/>
      </c>
      <c r="E107" s="10">
        <f>IF($D107=$C107,0,($B107-$C107)/($D107-$C107))</f>
        <v/>
      </c>
      <c r="F107" s="11">
        <f>INDEX(Quotes!$C$5:$C$19,MATCH($B107,Quotes!$B$5:$B$19,1))+$E107*(INDEX(Quotes!$C$5:$C$19,MIN(MATCH($B107,Quotes!$B$5:$B$19,1)+1,15))-INDEX(Quotes!$C$5:$C$19,MATCH($B107,Quotes!$B$5:$B$19,1)))</f>
        <v/>
      </c>
      <c r="G107" s="6">
        <f>IF(COUNTIF(Quotes!$B$5:$B$19,$B107)&gt;0,"quote","interp")</f>
        <v/>
      </c>
    </row>
    <row r="108">
      <c r="A108" s="6" t="n">
        <v>104</v>
      </c>
      <c r="B108" s="7" t="n">
        <v>26</v>
      </c>
      <c r="C108" s="7">
        <f>INDEX(Quotes!$B$5:$B$19,MATCH($B108,Quotes!$B$5:$B$19,1))</f>
        <v/>
      </c>
      <c r="D108" s="7">
        <f>INDEX(Quotes!$B$5:$B$19,MIN(MATCH($B108,Quotes!$B$5:$B$19,1)+1,15))</f>
        <v/>
      </c>
      <c r="E108" s="10">
        <f>IF($D108=$C108,0,($B108-$C108)/($D108-$C108))</f>
        <v/>
      </c>
      <c r="F108" s="11">
        <f>INDEX(Quotes!$C$5:$C$19,MATCH($B108,Quotes!$B$5:$B$19,1))+$E108*(INDEX(Quotes!$C$5:$C$19,MIN(MATCH($B108,Quotes!$B$5:$B$19,1)+1,15))-INDEX(Quotes!$C$5:$C$19,MATCH($B108,Quotes!$B$5:$B$19,1)))</f>
        <v/>
      </c>
      <c r="G108" s="6">
        <f>IF(COUNTIF(Quotes!$B$5:$B$19,$B108)&gt;0,"quote","interp")</f>
        <v/>
      </c>
    </row>
    <row r="109">
      <c r="A109" s="6" t="n">
        <v>105</v>
      </c>
      <c r="B109" s="7" t="n">
        <v>26.25</v>
      </c>
      <c r="C109" s="7">
        <f>INDEX(Quotes!$B$5:$B$19,MATCH($B109,Quotes!$B$5:$B$19,1))</f>
        <v/>
      </c>
      <c r="D109" s="7">
        <f>INDEX(Quotes!$B$5:$B$19,MIN(MATCH($B109,Quotes!$B$5:$B$19,1)+1,15))</f>
        <v/>
      </c>
      <c r="E109" s="10">
        <f>IF($D109=$C109,0,($B109-$C109)/($D109-$C109))</f>
        <v/>
      </c>
      <c r="F109" s="11">
        <f>INDEX(Quotes!$C$5:$C$19,MATCH($B109,Quotes!$B$5:$B$19,1))+$E109*(INDEX(Quotes!$C$5:$C$19,MIN(MATCH($B109,Quotes!$B$5:$B$19,1)+1,15))-INDEX(Quotes!$C$5:$C$19,MATCH($B109,Quotes!$B$5:$B$19,1)))</f>
        <v/>
      </c>
      <c r="G109" s="6">
        <f>IF(COUNTIF(Quotes!$B$5:$B$19,$B109)&gt;0,"quote","interp")</f>
        <v/>
      </c>
    </row>
    <row r="110">
      <c r="A110" s="6" t="n">
        <v>106</v>
      </c>
      <c r="B110" s="7" t="n">
        <v>26.5</v>
      </c>
      <c r="C110" s="7">
        <f>INDEX(Quotes!$B$5:$B$19,MATCH($B110,Quotes!$B$5:$B$19,1))</f>
        <v/>
      </c>
      <c r="D110" s="7">
        <f>INDEX(Quotes!$B$5:$B$19,MIN(MATCH($B110,Quotes!$B$5:$B$19,1)+1,15))</f>
        <v/>
      </c>
      <c r="E110" s="10">
        <f>IF($D110=$C110,0,($B110-$C110)/($D110-$C110))</f>
        <v/>
      </c>
      <c r="F110" s="11">
        <f>INDEX(Quotes!$C$5:$C$19,MATCH($B110,Quotes!$B$5:$B$19,1))+$E110*(INDEX(Quotes!$C$5:$C$19,MIN(MATCH($B110,Quotes!$B$5:$B$19,1)+1,15))-INDEX(Quotes!$C$5:$C$19,MATCH($B110,Quotes!$B$5:$B$19,1)))</f>
        <v/>
      </c>
      <c r="G110" s="6">
        <f>IF(COUNTIF(Quotes!$B$5:$B$19,$B110)&gt;0,"quote","interp")</f>
        <v/>
      </c>
    </row>
    <row r="111">
      <c r="A111" s="6" t="n">
        <v>107</v>
      </c>
      <c r="B111" s="7" t="n">
        <v>26.75</v>
      </c>
      <c r="C111" s="7">
        <f>INDEX(Quotes!$B$5:$B$19,MATCH($B111,Quotes!$B$5:$B$19,1))</f>
        <v/>
      </c>
      <c r="D111" s="7">
        <f>INDEX(Quotes!$B$5:$B$19,MIN(MATCH($B111,Quotes!$B$5:$B$19,1)+1,15))</f>
        <v/>
      </c>
      <c r="E111" s="10">
        <f>IF($D111=$C111,0,($B111-$C111)/($D111-$C111))</f>
        <v/>
      </c>
      <c r="F111" s="11">
        <f>INDEX(Quotes!$C$5:$C$19,MATCH($B111,Quotes!$B$5:$B$19,1))+$E111*(INDEX(Quotes!$C$5:$C$19,MIN(MATCH($B111,Quotes!$B$5:$B$19,1)+1,15))-INDEX(Quotes!$C$5:$C$19,MATCH($B111,Quotes!$B$5:$B$19,1)))</f>
        <v/>
      </c>
      <c r="G111" s="6">
        <f>IF(COUNTIF(Quotes!$B$5:$B$19,$B111)&gt;0,"quote","interp")</f>
        <v/>
      </c>
    </row>
    <row r="112">
      <c r="A112" s="6" t="n">
        <v>108</v>
      </c>
      <c r="B112" s="7" t="n">
        <v>27</v>
      </c>
      <c r="C112" s="7">
        <f>INDEX(Quotes!$B$5:$B$19,MATCH($B112,Quotes!$B$5:$B$19,1))</f>
        <v/>
      </c>
      <c r="D112" s="7">
        <f>INDEX(Quotes!$B$5:$B$19,MIN(MATCH($B112,Quotes!$B$5:$B$19,1)+1,15))</f>
        <v/>
      </c>
      <c r="E112" s="10">
        <f>IF($D112=$C112,0,($B112-$C112)/($D112-$C112))</f>
        <v/>
      </c>
      <c r="F112" s="11">
        <f>INDEX(Quotes!$C$5:$C$19,MATCH($B112,Quotes!$B$5:$B$19,1))+$E112*(INDEX(Quotes!$C$5:$C$19,MIN(MATCH($B112,Quotes!$B$5:$B$19,1)+1,15))-INDEX(Quotes!$C$5:$C$19,MATCH($B112,Quotes!$B$5:$B$19,1)))</f>
        <v/>
      </c>
      <c r="G112" s="6">
        <f>IF(COUNTIF(Quotes!$B$5:$B$19,$B112)&gt;0,"quote","interp")</f>
        <v/>
      </c>
    </row>
    <row r="113">
      <c r="A113" s="6" t="n">
        <v>109</v>
      </c>
      <c r="B113" s="7" t="n">
        <v>27.25</v>
      </c>
      <c r="C113" s="7">
        <f>INDEX(Quotes!$B$5:$B$19,MATCH($B113,Quotes!$B$5:$B$19,1))</f>
        <v/>
      </c>
      <c r="D113" s="7">
        <f>INDEX(Quotes!$B$5:$B$19,MIN(MATCH($B113,Quotes!$B$5:$B$19,1)+1,15))</f>
        <v/>
      </c>
      <c r="E113" s="10">
        <f>IF($D113=$C113,0,($B113-$C113)/($D113-$C113))</f>
        <v/>
      </c>
      <c r="F113" s="11">
        <f>INDEX(Quotes!$C$5:$C$19,MATCH($B113,Quotes!$B$5:$B$19,1))+$E113*(INDEX(Quotes!$C$5:$C$19,MIN(MATCH($B113,Quotes!$B$5:$B$19,1)+1,15))-INDEX(Quotes!$C$5:$C$19,MATCH($B113,Quotes!$B$5:$B$19,1)))</f>
        <v/>
      </c>
      <c r="G113" s="6">
        <f>IF(COUNTIF(Quotes!$B$5:$B$19,$B113)&gt;0,"quote","interp")</f>
        <v/>
      </c>
    </row>
    <row r="114">
      <c r="A114" s="6" t="n">
        <v>110</v>
      </c>
      <c r="B114" s="7" t="n">
        <v>27.5</v>
      </c>
      <c r="C114" s="7">
        <f>INDEX(Quotes!$B$5:$B$19,MATCH($B114,Quotes!$B$5:$B$19,1))</f>
        <v/>
      </c>
      <c r="D114" s="7">
        <f>INDEX(Quotes!$B$5:$B$19,MIN(MATCH($B114,Quotes!$B$5:$B$19,1)+1,15))</f>
        <v/>
      </c>
      <c r="E114" s="10">
        <f>IF($D114=$C114,0,($B114-$C114)/($D114-$C114))</f>
        <v/>
      </c>
      <c r="F114" s="11">
        <f>INDEX(Quotes!$C$5:$C$19,MATCH($B114,Quotes!$B$5:$B$19,1))+$E114*(INDEX(Quotes!$C$5:$C$19,MIN(MATCH($B114,Quotes!$B$5:$B$19,1)+1,15))-INDEX(Quotes!$C$5:$C$19,MATCH($B114,Quotes!$B$5:$B$19,1)))</f>
        <v/>
      </c>
      <c r="G114" s="6">
        <f>IF(COUNTIF(Quotes!$B$5:$B$19,$B114)&gt;0,"quote","interp")</f>
        <v/>
      </c>
    </row>
    <row r="115">
      <c r="A115" s="6" t="n">
        <v>111</v>
      </c>
      <c r="B115" s="7" t="n">
        <v>27.75</v>
      </c>
      <c r="C115" s="7">
        <f>INDEX(Quotes!$B$5:$B$19,MATCH($B115,Quotes!$B$5:$B$19,1))</f>
        <v/>
      </c>
      <c r="D115" s="7">
        <f>INDEX(Quotes!$B$5:$B$19,MIN(MATCH($B115,Quotes!$B$5:$B$19,1)+1,15))</f>
        <v/>
      </c>
      <c r="E115" s="10">
        <f>IF($D115=$C115,0,($B115-$C115)/($D115-$C115))</f>
        <v/>
      </c>
      <c r="F115" s="11">
        <f>INDEX(Quotes!$C$5:$C$19,MATCH($B115,Quotes!$B$5:$B$19,1))+$E115*(INDEX(Quotes!$C$5:$C$19,MIN(MATCH($B115,Quotes!$B$5:$B$19,1)+1,15))-INDEX(Quotes!$C$5:$C$19,MATCH($B115,Quotes!$B$5:$B$19,1)))</f>
        <v/>
      </c>
      <c r="G115" s="6">
        <f>IF(COUNTIF(Quotes!$B$5:$B$19,$B115)&gt;0,"quote","interp")</f>
        <v/>
      </c>
    </row>
    <row r="116">
      <c r="A116" s="6" t="n">
        <v>112</v>
      </c>
      <c r="B116" s="7" t="n">
        <v>28</v>
      </c>
      <c r="C116" s="7">
        <f>INDEX(Quotes!$B$5:$B$19,MATCH($B116,Quotes!$B$5:$B$19,1))</f>
        <v/>
      </c>
      <c r="D116" s="7">
        <f>INDEX(Quotes!$B$5:$B$19,MIN(MATCH($B116,Quotes!$B$5:$B$19,1)+1,15))</f>
        <v/>
      </c>
      <c r="E116" s="10">
        <f>IF($D116=$C116,0,($B116-$C116)/($D116-$C116))</f>
        <v/>
      </c>
      <c r="F116" s="11">
        <f>INDEX(Quotes!$C$5:$C$19,MATCH($B116,Quotes!$B$5:$B$19,1))+$E116*(INDEX(Quotes!$C$5:$C$19,MIN(MATCH($B116,Quotes!$B$5:$B$19,1)+1,15))-INDEX(Quotes!$C$5:$C$19,MATCH($B116,Quotes!$B$5:$B$19,1)))</f>
        <v/>
      </c>
      <c r="G116" s="6">
        <f>IF(COUNTIF(Quotes!$B$5:$B$19,$B116)&gt;0,"quote","interp")</f>
        <v/>
      </c>
    </row>
    <row r="117">
      <c r="A117" s="6" t="n">
        <v>113</v>
      </c>
      <c r="B117" s="7" t="n">
        <v>28.25</v>
      </c>
      <c r="C117" s="7">
        <f>INDEX(Quotes!$B$5:$B$19,MATCH($B117,Quotes!$B$5:$B$19,1))</f>
        <v/>
      </c>
      <c r="D117" s="7">
        <f>INDEX(Quotes!$B$5:$B$19,MIN(MATCH($B117,Quotes!$B$5:$B$19,1)+1,15))</f>
        <v/>
      </c>
      <c r="E117" s="10">
        <f>IF($D117=$C117,0,($B117-$C117)/($D117-$C117))</f>
        <v/>
      </c>
      <c r="F117" s="11">
        <f>INDEX(Quotes!$C$5:$C$19,MATCH($B117,Quotes!$B$5:$B$19,1))+$E117*(INDEX(Quotes!$C$5:$C$19,MIN(MATCH($B117,Quotes!$B$5:$B$19,1)+1,15))-INDEX(Quotes!$C$5:$C$19,MATCH($B117,Quotes!$B$5:$B$19,1)))</f>
        <v/>
      </c>
      <c r="G117" s="6">
        <f>IF(COUNTIF(Quotes!$B$5:$B$19,$B117)&gt;0,"quote","interp")</f>
        <v/>
      </c>
    </row>
    <row r="118">
      <c r="A118" s="6" t="n">
        <v>114</v>
      </c>
      <c r="B118" s="7" t="n">
        <v>28.5</v>
      </c>
      <c r="C118" s="7">
        <f>INDEX(Quotes!$B$5:$B$19,MATCH($B118,Quotes!$B$5:$B$19,1))</f>
        <v/>
      </c>
      <c r="D118" s="7">
        <f>INDEX(Quotes!$B$5:$B$19,MIN(MATCH($B118,Quotes!$B$5:$B$19,1)+1,15))</f>
        <v/>
      </c>
      <c r="E118" s="10">
        <f>IF($D118=$C118,0,($B118-$C118)/($D118-$C118))</f>
        <v/>
      </c>
      <c r="F118" s="11">
        <f>INDEX(Quotes!$C$5:$C$19,MATCH($B118,Quotes!$B$5:$B$19,1))+$E118*(INDEX(Quotes!$C$5:$C$19,MIN(MATCH($B118,Quotes!$B$5:$B$19,1)+1,15))-INDEX(Quotes!$C$5:$C$19,MATCH($B118,Quotes!$B$5:$B$19,1)))</f>
        <v/>
      </c>
      <c r="G118" s="6">
        <f>IF(COUNTIF(Quotes!$B$5:$B$19,$B118)&gt;0,"quote","interp")</f>
        <v/>
      </c>
    </row>
    <row r="119">
      <c r="A119" s="6" t="n">
        <v>115</v>
      </c>
      <c r="B119" s="7" t="n">
        <v>28.75</v>
      </c>
      <c r="C119" s="7">
        <f>INDEX(Quotes!$B$5:$B$19,MATCH($B119,Quotes!$B$5:$B$19,1))</f>
        <v/>
      </c>
      <c r="D119" s="7">
        <f>INDEX(Quotes!$B$5:$B$19,MIN(MATCH($B119,Quotes!$B$5:$B$19,1)+1,15))</f>
        <v/>
      </c>
      <c r="E119" s="10">
        <f>IF($D119=$C119,0,($B119-$C119)/($D119-$C119))</f>
        <v/>
      </c>
      <c r="F119" s="11">
        <f>INDEX(Quotes!$C$5:$C$19,MATCH($B119,Quotes!$B$5:$B$19,1))+$E119*(INDEX(Quotes!$C$5:$C$19,MIN(MATCH($B119,Quotes!$B$5:$B$19,1)+1,15))-INDEX(Quotes!$C$5:$C$19,MATCH($B119,Quotes!$B$5:$B$19,1)))</f>
        <v/>
      </c>
      <c r="G119" s="6">
        <f>IF(COUNTIF(Quotes!$B$5:$B$19,$B119)&gt;0,"quote","interp")</f>
        <v/>
      </c>
    </row>
    <row r="120">
      <c r="A120" s="6" t="n">
        <v>116</v>
      </c>
      <c r="B120" s="7" t="n">
        <v>29</v>
      </c>
      <c r="C120" s="7">
        <f>INDEX(Quotes!$B$5:$B$19,MATCH($B120,Quotes!$B$5:$B$19,1))</f>
        <v/>
      </c>
      <c r="D120" s="7">
        <f>INDEX(Quotes!$B$5:$B$19,MIN(MATCH($B120,Quotes!$B$5:$B$19,1)+1,15))</f>
        <v/>
      </c>
      <c r="E120" s="10">
        <f>IF($D120=$C120,0,($B120-$C120)/($D120-$C120))</f>
        <v/>
      </c>
      <c r="F120" s="11">
        <f>INDEX(Quotes!$C$5:$C$19,MATCH($B120,Quotes!$B$5:$B$19,1))+$E120*(INDEX(Quotes!$C$5:$C$19,MIN(MATCH($B120,Quotes!$B$5:$B$19,1)+1,15))-INDEX(Quotes!$C$5:$C$19,MATCH($B120,Quotes!$B$5:$B$19,1)))</f>
        <v/>
      </c>
      <c r="G120" s="6">
        <f>IF(COUNTIF(Quotes!$B$5:$B$19,$B120)&gt;0,"quote","interp")</f>
        <v/>
      </c>
    </row>
    <row r="121">
      <c r="A121" s="6" t="n">
        <v>117</v>
      </c>
      <c r="B121" s="7" t="n">
        <v>29.25</v>
      </c>
      <c r="C121" s="7">
        <f>INDEX(Quotes!$B$5:$B$19,MATCH($B121,Quotes!$B$5:$B$19,1))</f>
        <v/>
      </c>
      <c r="D121" s="7">
        <f>INDEX(Quotes!$B$5:$B$19,MIN(MATCH($B121,Quotes!$B$5:$B$19,1)+1,15))</f>
        <v/>
      </c>
      <c r="E121" s="10">
        <f>IF($D121=$C121,0,($B121-$C121)/($D121-$C121))</f>
        <v/>
      </c>
      <c r="F121" s="11">
        <f>INDEX(Quotes!$C$5:$C$19,MATCH($B121,Quotes!$B$5:$B$19,1))+$E121*(INDEX(Quotes!$C$5:$C$19,MIN(MATCH($B121,Quotes!$B$5:$B$19,1)+1,15))-INDEX(Quotes!$C$5:$C$19,MATCH($B121,Quotes!$B$5:$B$19,1)))</f>
        <v/>
      </c>
      <c r="G121" s="6">
        <f>IF(COUNTIF(Quotes!$B$5:$B$19,$B121)&gt;0,"quote","interp")</f>
        <v/>
      </c>
    </row>
    <row r="122">
      <c r="A122" s="6" t="n">
        <v>118</v>
      </c>
      <c r="B122" s="7" t="n">
        <v>29.5</v>
      </c>
      <c r="C122" s="7">
        <f>INDEX(Quotes!$B$5:$B$19,MATCH($B122,Quotes!$B$5:$B$19,1))</f>
        <v/>
      </c>
      <c r="D122" s="7">
        <f>INDEX(Quotes!$B$5:$B$19,MIN(MATCH($B122,Quotes!$B$5:$B$19,1)+1,15))</f>
        <v/>
      </c>
      <c r="E122" s="10">
        <f>IF($D122=$C122,0,($B122-$C122)/($D122-$C122))</f>
        <v/>
      </c>
      <c r="F122" s="11">
        <f>INDEX(Quotes!$C$5:$C$19,MATCH($B122,Quotes!$B$5:$B$19,1))+$E122*(INDEX(Quotes!$C$5:$C$19,MIN(MATCH($B122,Quotes!$B$5:$B$19,1)+1,15))-INDEX(Quotes!$C$5:$C$19,MATCH($B122,Quotes!$B$5:$B$19,1)))</f>
        <v/>
      </c>
      <c r="G122" s="6">
        <f>IF(COUNTIF(Quotes!$B$5:$B$19,$B122)&gt;0,"quote","interp")</f>
        <v/>
      </c>
    </row>
    <row r="123">
      <c r="A123" s="6" t="n">
        <v>119</v>
      </c>
      <c r="B123" s="7" t="n">
        <v>29.75</v>
      </c>
      <c r="C123" s="7">
        <f>INDEX(Quotes!$B$5:$B$19,MATCH($B123,Quotes!$B$5:$B$19,1))</f>
        <v/>
      </c>
      <c r="D123" s="7">
        <f>INDEX(Quotes!$B$5:$B$19,MIN(MATCH($B123,Quotes!$B$5:$B$19,1)+1,15))</f>
        <v/>
      </c>
      <c r="E123" s="10">
        <f>IF($D123=$C123,0,($B123-$C123)/($D123-$C123))</f>
        <v/>
      </c>
      <c r="F123" s="11">
        <f>INDEX(Quotes!$C$5:$C$19,MATCH($B123,Quotes!$B$5:$B$19,1))+$E123*(INDEX(Quotes!$C$5:$C$19,MIN(MATCH($B123,Quotes!$B$5:$B$19,1)+1,15))-INDEX(Quotes!$C$5:$C$19,MATCH($B123,Quotes!$B$5:$B$19,1)))</f>
        <v/>
      </c>
      <c r="G123" s="6">
        <f>IF(COUNTIF(Quotes!$B$5:$B$19,$B123)&gt;0,"quote","interp")</f>
        <v/>
      </c>
    </row>
    <row r="124">
      <c r="A124" s="6" t="n">
        <v>120</v>
      </c>
      <c r="B124" s="7" t="n">
        <v>30</v>
      </c>
      <c r="C124" s="7">
        <f>INDEX(Quotes!$B$5:$B$19,MATCH($B124,Quotes!$B$5:$B$19,1))</f>
        <v/>
      </c>
      <c r="D124" s="7">
        <f>INDEX(Quotes!$B$5:$B$19,MIN(MATCH($B124,Quotes!$B$5:$B$19,1)+1,15))</f>
        <v/>
      </c>
      <c r="E124" s="10">
        <f>IF($D124=$C124,0,($B124-$C124)/($D124-$C124))</f>
        <v/>
      </c>
      <c r="F124" s="11">
        <f>INDEX(Quotes!$C$5:$C$19,MATCH($B124,Quotes!$B$5:$B$19,1))+$E124*(INDEX(Quotes!$C$5:$C$19,MIN(MATCH($B124,Quotes!$B$5:$B$19,1)+1,15))-INDEX(Quotes!$C$5:$C$19,MATCH($B124,Quotes!$B$5:$B$19,1)))</f>
        <v/>
      </c>
      <c r="G124" s="6">
        <f>IF(COUNTIF(Quotes!$B$5:$B$19,$B124)&gt;0,"quote","interp")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Bootstrap — DF, zero, forward</t>
        </is>
      </c>
    </row>
    <row r="2">
      <c r="A2" s="2" t="inlineStr">
        <is>
          <t>One rule for every row:  DF(T) = (1 - S*tau*sum of earlier DFs) / (1 + S*tau). The 3m is money market: DF = 1/(1+z*tau).</t>
        </is>
      </c>
    </row>
    <row r="4">
      <c r="A4" s="9" t="inlineStr">
        <is>
          <t>Year</t>
        </is>
      </c>
      <c r="B4" s="9" t="inlineStr">
        <is>
          <t>Swap rate %</t>
        </is>
      </c>
      <c r="C4" s="9" t="inlineStr">
        <is>
          <t>Discount factor</t>
        </is>
      </c>
      <c r="D4" s="9" t="inlineStr">
        <is>
          <t>Zero rate %</t>
        </is>
      </c>
      <c r="E4" s="9" t="inlineStr">
        <is>
          <t>Forward % (qtr)</t>
        </is>
      </c>
    </row>
    <row r="5">
      <c r="A5" s="7">
        <f>Interpolation!B5</f>
        <v/>
      </c>
      <c r="B5" s="12">
        <f>Interpolation!F5</f>
        <v/>
      </c>
      <c r="C5" s="13">
        <f>1/(1+($B5/100)*Quotes!$E$2)</f>
        <v/>
      </c>
      <c r="D5" s="11">
        <f>(1/$C5-1)/$A5*100</f>
        <v/>
      </c>
      <c r="E5" s="11">
        <f>(1/$C5-1)/Quotes!$E$2*100</f>
        <v/>
      </c>
    </row>
    <row r="6">
      <c r="A6" s="7">
        <f>Interpolation!B6</f>
        <v/>
      </c>
      <c r="B6" s="12">
        <f>Interpolation!F6</f>
        <v/>
      </c>
      <c r="C6" s="13">
        <f>(1-($B6/100)*Quotes!$E$2*SUM($C$5:$C5))/(1+($B6/100)*Quotes!$E$2)</f>
        <v/>
      </c>
      <c r="D6" s="11">
        <f>(1/$C6-1)/$A6*100</f>
        <v/>
      </c>
      <c r="E6" s="11">
        <f>($C5/$C6-1)/Quotes!$E$2*100</f>
        <v/>
      </c>
    </row>
    <row r="7">
      <c r="A7" s="7">
        <f>Interpolation!B7</f>
        <v/>
      </c>
      <c r="B7" s="12">
        <f>Interpolation!F7</f>
        <v/>
      </c>
      <c r="C7" s="13">
        <f>(1-($B7/100)*Quotes!$E$2*SUM($C$5:$C6))/(1+($B7/100)*Quotes!$E$2)</f>
        <v/>
      </c>
      <c r="D7" s="11">
        <f>(1/$C7-1)/$A7*100</f>
        <v/>
      </c>
      <c r="E7" s="11">
        <f>($C6/$C7-1)/Quotes!$E$2*100</f>
        <v/>
      </c>
    </row>
    <row r="8">
      <c r="A8" s="7">
        <f>Interpolation!B8</f>
        <v/>
      </c>
      <c r="B8" s="12">
        <f>Interpolation!F8</f>
        <v/>
      </c>
      <c r="C8" s="13">
        <f>(1-($B8/100)*Quotes!$E$2*SUM($C$5:$C7))/(1+($B8/100)*Quotes!$E$2)</f>
        <v/>
      </c>
      <c r="D8" s="11">
        <f>(1/$C8-1)/$A8*100</f>
        <v/>
      </c>
      <c r="E8" s="11">
        <f>($C7/$C8-1)/Quotes!$E$2*100</f>
        <v/>
      </c>
    </row>
    <row r="9">
      <c r="A9" s="7">
        <f>Interpolation!B9</f>
        <v/>
      </c>
      <c r="B9" s="12">
        <f>Interpolation!F9</f>
        <v/>
      </c>
      <c r="C9" s="13">
        <f>(1-($B9/100)*Quotes!$E$2*SUM($C$5:$C8))/(1+($B9/100)*Quotes!$E$2)</f>
        <v/>
      </c>
      <c r="D9" s="11">
        <f>(1/$C9-1)/$A9*100</f>
        <v/>
      </c>
      <c r="E9" s="11">
        <f>($C8/$C9-1)/Quotes!$E$2*100</f>
        <v/>
      </c>
    </row>
    <row r="10">
      <c r="A10" s="7">
        <f>Interpolation!B10</f>
        <v/>
      </c>
      <c r="B10" s="12">
        <f>Interpolation!F10</f>
        <v/>
      </c>
      <c r="C10" s="13">
        <f>(1-($B10/100)*Quotes!$E$2*SUM($C$5:$C9))/(1+($B10/100)*Quotes!$E$2)</f>
        <v/>
      </c>
      <c r="D10" s="11">
        <f>(1/$C10-1)/$A10*100</f>
        <v/>
      </c>
      <c r="E10" s="11">
        <f>($C9/$C10-1)/Quotes!$E$2*100</f>
        <v/>
      </c>
    </row>
    <row r="11">
      <c r="A11" s="7">
        <f>Interpolation!B11</f>
        <v/>
      </c>
      <c r="B11" s="12">
        <f>Interpolation!F11</f>
        <v/>
      </c>
      <c r="C11" s="13">
        <f>(1-($B11/100)*Quotes!$E$2*SUM($C$5:$C10))/(1+($B11/100)*Quotes!$E$2)</f>
        <v/>
      </c>
      <c r="D11" s="11">
        <f>(1/$C11-1)/$A11*100</f>
        <v/>
      </c>
      <c r="E11" s="11">
        <f>($C10/$C11-1)/Quotes!$E$2*100</f>
        <v/>
      </c>
    </row>
    <row r="12">
      <c r="A12" s="7">
        <f>Interpolation!B12</f>
        <v/>
      </c>
      <c r="B12" s="12">
        <f>Interpolation!F12</f>
        <v/>
      </c>
      <c r="C12" s="13">
        <f>(1-($B12/100)*Quotes!$E$2*SUM($C$5:$C11))/(1+($B12/100)*Quotes!$E$2)</f>
        <v/>
      </c>
      <c r="D12" s="11">
        <f>(1/$C12-1)/$A12*100</f>
        <v/>
      </c>
      <c r="E12" s="11">
        <f>($C11/$C12-1)/Quotes!$E$2*100</f>
        <v/>
      </c>
    </row>
    <row r="13">
      <c r="A13" s="7">
        <f>Interpolation!B13</f>
        <v/>
      </c>
      <c r="B13" s="12">
        <f>Interpolation!F13</f>
        <v/>
      </c>
      <c r="C13" s="13">
        <f>(1-($B13/100)*Quotes!$E$2*SUM($C$5:$C12))/(1+($B13/100)*Quotes!$E$2)</f>
        <v/>
      </c>
      <c r="D13" s="11">
        <f>(1/$C13-1)/$A13*100</f>
        <v/>
      </c>
      <c r="E13" s="11">
        <f>($C12/$C13-1)/Quotes!$E$2*100</f>
        <v/>
      </c>
    </row>
    <row r="14">
      <c r="A14" s="7">
        <f>Interpolation!B14</f>
        <v/>
      </c>
      <c r="B14" s="12">
        <f>Interpolation!F14</f>
        <v/>
      </c>
      <c r="C14" s="13">
        <f>(1-($B14/100)*Quotes!$E$2*SUM($C$5:$C13))/(1+($B14/100)*Quotes!$E$2)</f>
        <v/>
      </c>
      <c r="D14" s="11">
        <f>(1/$C14-1)/$A14*100</f>
        <v/>
      </c>
      <c r="E14" s="11">
        <f>($C13/$C14-1)/Quotes!$E$2*100</f>
        <v/>
      </c>
    </row>
    <row r="15">
      <c r="A15" s="7">
        <f>Interpolation!B15</f>
        <v/>
      </c>
      <c r="B15" s="12">
        <f>Interpolation!F15</f>
        <v/>
      </c>
      <c r="C15" s="13">
        <f>(1-($B15/100)*Quotes!$E$2*SUM($C$5:$C14))/(1+($B15/100)*Quotes!$E$2)</f>
        <v/>
      </c>
      <c r="D15" s="11">
        <f>(1/$C15-1)/$A15*100</f>
        <v/>
      </c>
      <c r="E15" s="11">
        <f>($C14/$C15-1)/Quotes!$E$2*100</f>
        <v/>
      </c>
    </row>
    <row r="16">
      <c r="A16" s="7">
        <f>Interpolation!B16</f>
        <v/>
      </c>
      <c r="B16" s="12">
        <f>Interpolation!F16</f>
        <v/>
      </c>
      <c r="C16" s="13">
        <f>(1-($B16/100)*Quotes!$E$2*SUM($C$5:$C15))/(1+($B16/100)*Quotes!$E$2)</f>
        <v/>
      </c>
      <c r="D16" s="11">
        <f>(1/$C16-1)/$A16*100</f>
        <v/>
      </c>
      <c r="E16" s="11">
        <f>($C15/$C16-1)/Quotes!$E$2*100</f>
        <v/>
      </c>
    </row>
    <row r="17">
      <c r="A17" s="7">
        <f>Interpolation!B17</f>
        <v/>
      </c>
      <c r="B17" s="12">
        <f>Interpolation!F17</f>
        <v/>
      </c>
      <c r="C17" s="13">
        <f>(1-($B17/100)*Quotes!$E$2*SUM($C$5:$C16))/(1+($B17/100)*Quotes!$E$2)</f>
        <v/>
      </c>
      <c r="D17" s="11">
        <f>(1/$C17-1)/$A17*100</f>
        <v/>
      </c>
      <c r="E17" s="11">
        <f>($C16/$C17-1)/Quotes!$E$2*100</f>
        <v/>
      </c>
    </row>
    <row r="18">
      <c r="A18" s="7">
        <f>Interpolation!B18</f>
        <v/>
      </c>
      <c r="B18" s="12">
        <f>Interpolation!F18</f>
        <v/>
      </c>
      <c r="C18" s="13">
        <f>(1-($B18/100)*Quotes!$E$2*SUM($C$5:$C17))/(1+($B18/100)*Quotes!$E$2)</f>
        <v/>
      </c>
      <c r="D18" s="11">
        <f>(1/$C18-1)/$A18*100</f>
        <v/>
      </c>
      <c r="E18" s="11">
        <f>($C17/$C18-1)/Quotes!$E$2*100</f>
        <v/>
      </c>
    </row>
    <row r="19">
      <c r="A19" s="7">
        <f>Interpolation!B19</f>
        <v/>
      </c>
      <c r="B19" s="12">
        <f>Interpolation!F19</f>
        <v/>
      </c>
      <c r="C19" s="13">
        <f>(1-($B19/100)*Quotes!$E$2*SUM($C$5:$C18))/(1+($B19/100)*Quotes!$E$2)</f>
        <v/>
      </c>
      <c r="D19" s="11">
        <f>(1/$C19-1)/$A19*100</f>
        <v/>
      </c>
      <c r="E19" s="11">
        <f>($C18/$C19-1)/Quotes!$E$2*100</f>
        <v/>
      </c>
    </row>
    <row r="20">
      <c r="A20" s="7">
        <f>Interpolation!B20</f>
        <v/>
      </c>
      <c r="B20" s="12">
        <f>Interpolation!F20</f>
        <v/>
      </c>
      <c r="C20" s="13">
        <f>(1-($B20/100)*Quotes!$E$2*SUM($C$5:$C19))/(1+($B20/100)*Quotes!$E$2)</f>
        <v/>
      </c>
      <c r="D20" s="11">
        <f>(1/$C20-1)/$A20*100</f>
        <v/>
      </c>
      <c r="E20" s="11">
        <f>($C19/$C20-1)/Quotes!$E$2*100</f>
        <v/>
      </c>
    </row>
    <row r="21">
      <c r="A21" s="7">
        <f>Interpolation!B21</f>
        <v/>
      </c>
      <c r="B21" s="12">
        <f>Interpolation!F21</f>
        <v/>
      </c>
      <c r="C21" s="13">
        <f>(1-($B21/100)*Quotes!$E$2*SUM($C$5:$C20))/(1+($B21/100)*Quotes!$E$2)</f>
        <v/>
      </c>
      <c r="D21" s="11">
        <f>(1/$C21-1)/$A21*100</f>
        <v/>
      </c>
      <c r="E21" s="11">
        <f>($C20/$C21-1)/Quotes!$E$2*100</f>
        <v/>
      </c>
    </row>
    <row r="22">
      <c r="A22" s="7">
        <f>Interpolation!B22</f>
        <v/>
      </c>
      <c r="B22" s="12">
        <f>Interpolation!F22</f>
        <v/>
      </c>
      <c r="C22" s="13">
        <f>(1-($B22/100)*Quotes!$E$2*SUM($C$5:$C21))/(1+($B22/100)*Quotes!$E$2)</f>
        <v/>
      </c>
      <c r="D22" s="11">
        <f>(1/$C22-1)/$A22*100</f>
        <v/>
      </c>
      <c r="E22" s="11">
        <f>($C21/$C22-1)/Quotes!$E$2*100</f>
        <v/>
      </c>
    </row>
    <row r="23">
      <c r="A23" s="7">
        <f>Interpolation!B23</f>
        <v/>
      </c>
      <c r="B23" s="12">
        <f>Interpolation!F23</f>
        <v/>
      </c>
      <c r="C23" s="13">
        <f>(1-($B23/100)*Quotes!$E$2*SUM($C$5:$C22))/(1+($B23/100)*Quotes!$E$2)</f>
        <v/>
      </c>
      <c r="D23" s="11">
        <f>(1/$C23-1)/$A23*100</f>
        <v/>
      </c>
      <c r="E23" s="11">
        <f>($C22/$C23-1)/Quotes!$E$2*100</f>
        <v/>
      </c>
    </row>
    <row r="24">
      <c r="A24" s="7">
        <f>Interpolation!B24</f>
        <v/>
      </c>
      <c r="B24" s="12">
        <f>Interpolation!F24</f>
        <v/>
      </c>
      <c r="C24" s="13">
        <f>(1-($B24/100)*Quotes!$E$2*SUM($C$5:$C23))/(1+($B24/100)*Quotes!$E$2)</f>
        <v/>
      </c>
      <c r="D24" s="11">
        <f>(1/$C24-1)/$A24*100</f>
        <v/>
      </c>
      <c r="E24" s="11">
        <f>($C23/$C24-1)/Quotes!$E$2*100</f>
        <v/>
      </c>
    </row>
    <row r="25">
      <c r="A25" s="7">
        <f>Interpolation!B25</f>
        <v/>
      </c>
      <c r="B25" s="12">
        <f>Interpolation!F25</f>
        <v/>
      </c>
      <c r="C25" s="13">
        <f>(1-($B25/100)*Quotes!$E$2*SUM($C$5:$C24))/(1+($B25/100)*Quotes!$E$2)</f>
        <v/>
      </c>
      <c r="D25" s="11">
        <f>(1/$C25-1)/$A25*100</f>
        <v/>
      </c>
      <c r="E25" s="11">
        <f>($C24/$C25-1)/Quotes!$E$2*100</f>
        <v/>
      </c>
    </row>
    <row r="26">
      <c r="A26" s="7">
        <f>Interpolation!B26</f>
        <v/>
      </c>
      <c r="B26" s="12">
        <f>Interpolation!F26</f>
        <v/>
      </c>
      <c r="C26" s="13">
        <f>(1-($B26/100)*Quotes!$E$2*SUM($C$5:$C25))/(1+($B26/100)*Quotes!$E$2)</f>
        <v/>
      </c>
      <c r="D26" s="11">
        <f>(1/$C26-1)/$A26*100</f>
        <v/>
      </c>
      <c r="E26" s="11">
        <f>($C25/$C26-1)/Quotes!$E$2*100</f>
        <v/>
      </c>
    </row>
    <row r="27">
      <c r="A27" s="7">
        <f>Interpolation!B27</f>
        <v/>
      </c>
      <c r="B27" s="12">
        <f>Interpolation!F27</f>
        <v/>
      </c>
      <c r="C27" s="13">
        <f>(1-($B27/100)*Quotes!$E$2*SUM($C$5:$C26))/(1+($B27/100)*Quotes!$E$2)</f>
        <v/>
      </c>
      <c r="D27" s="11">
        <f>(1/$C27-1)/$A27*100</f>
        <v/>
      </c>
      <c r="E27" s="11">
        <f>($C26/$C27-1)/Quotes!$E$2*100</f>
        <v/>
      </c>
    </row>
    <row r="28">
      <c r="A28" s="7">
        <f>Interpolation!B28</f>
        <v/>
      </c>
      <c r="B28" s="12">
        <f>Interpolation!F28</f>
        <v/>
      </c>
      <c r="C28" s="13">
        <f>(1-($B28/100)*Quotes!$E$2*SUM($C$5:$C27))/(1+($B28/100)*Quotes!$E$2)</f>
        <v/>
      </c>
      <c r="D28" s="11">
        <f>(1/$C28-1)/$A28*100</f>
        <v/>
      </c>
      <c r="E28" s="11">
        <f>($C27/$C28-1)/Quotes!$E$2*100</f>
        <v/>
      </c>
    </row>
    <row r="29">
      <c r="A29" s="7">
        <f>Interpolation!B29</f>
        <v/>
      </c>
      <c r="B29" s="12">
        <f>Interpolation!F29</f>
        <v/>
      </c>
      <c r="C29" s="13">
        <f>(1-($B29/100)*Quotes!$E$2*SUM($C$5:$C28))/(1+($B29/100)*Quotes!$E$2)</f>
        <v/>
      </c>
      <c r="D29" s="11">
        <f>(1/$C29-1)/$A29*100</f>
        <v/>
      </c>
      <c r="E29" s="11">
        <f>($C28/$C29-1)/Quotes!$E$2*100</f>
        <v/>
      </c>
    </row>
    <row r="30">
      <c r="A30" s="7">
        <f>Interpolation!B30</f>
        <v/>
      </c>
      <c r="B30" s="12">
        <f>Interpolation!F30</f>
        <v/>
      </c>
      <c r="C30" s="13">
        <f>(1-($B30/100)*Quotes!$E$2*SUM($C$5:$C29))/(1+($B30/100)*Quotes!$E$2)</f>
        <v/>
      </c>
      <c r="D30" s="11">
        <f>(1/$C30-1)/$A30*100</f>
        <v/>
      </c>
      <c r="E30" s="11">
        <f>($C29/$C30-1)/Quotes!$E$2*100</f>
        <v/>
      </c>
    </row>
    <row r="31">
      <c r="A31" s="7">
        <f>Interpolation!B31</f>
        <v/>
      </c>
      <c r="B31" s="12">
        <f>Interpolation!F31</f>
        <v/>
      </c>
      <c r="C31" s="13">
        <f>(1-($B31/100)*Quotes!$E$2*SUM($C$5:$C30))/(1+($B31/100)*Quotes!$E$2)</f>
        <v/>
      </c>
      <c r="D31" s="11">
        <f>(1/$C31-1)/$A31*100</f>
        <v/>
      </c>
      <c r="E31" s="11">
        <f>($C30/$C31-1)/Quotes!$E$2*100</f>
        <v/>
      </c>
    </row>
    <row r="32">
      <c r="A32" s="7">
        <f>Interpolation!B32</f>
        <v/>
      </c>
      <c r="B32" s="12">
        <f>Interpolation!F32</f>
        <v/>
      </c>
      <c r="C32" s="13">
        <f>(1-($B32/100)*Quotes!$E$2*SUM($C$5:$C31))/(1+($B32/100)*Quotes!$E$2)</f>
        <v/>
      </c>
      <c r="D32" s="11">
        <f>(1/$C32-1)/$A32*100</f>
        <v/>
      </c>
      <c r="E32" s="11">
        <f>($C31/$C32-1)/Quotes!$E$2*100</f>
        <v/>
      </c>
    </row>
    <row r="33">
      <c r="A33" s="7">
        <f>Interpolation!B33</f>
        <v/>
      </c>
      <c r="B33" s="12">
        <f>Interpolation!F33</f>
        <v/>
      </c>
      <c r="C33" s="13">
        <f>(1-($B33/100)*Quotes!$E$2*SUM($C$5:$C32))/(1+($B33/100)*Quotes!$E$2)</f>
        <v/>
      </c>
      <c r="D33" s="11">
        <f>(1/$C33-1)/$A33*100</f>
        <v/>
      </c>
      <c r="E33" s="11">
        <f>($C32/$C33-1)/Quotes!$E$2*100</f>
        <v/>
      </c>
    </row>
    <row r="34">
      <c r="A34" s="7">
        <f>Interpolation!B34</f>
        <v/>
      </c>
      <c r="B34" s="12">
        <f>Interpolation!F34</f>
        <v/>
      </c>
      <c r="C34" s="13">
        <f>(1-($B34/100)*Quotes!$E$2*SUM($C$5:$C33))/(1+($B34/100)*Quotes!$E$2)</f>
        <v/>
      </c>
      <c r="D34" s="11">
        <f>(1/$C34-1)/$A34*100</f>
        <v/>
      </c>
      <c r="E34" s="11">
        <f>($C33/$C34-1)/Quotes!$E$2*100</f>
        <v/>
      </c>
    </row>
    <row r="35">
      <c r="A35" s="7">
        <f>Interpolation!B35</f>
        <v/>
      </c>
      <c r="B35" s="12">
        <f>Interpolation!F35</f>
        <v/>
      </c>
      <c r="C35" s="13">
        <f>(1-($B35/100)*Quotes!$E$2*SUM($C$5:$C34))/(1+($B35/100)*Quotes!$E$2)</f>
        <v/>
      </c>
      <c r="D35" s="11">
        <f>(1/$C35-1)/$A35*100</f>
        <v/>
      </c>
      <c r="E35" s="11">
        <f>($C34/$C35-1)/Quotes!$E$2*100</f>
        <v/>
      </c>
    </row>
    <row r="36">
      <c r="A36" s="7">
        <f>Interpolation!B36</f>
        <v/>
      </c>
      <c r="B36" s="12">
        <f>Interpolation!F36</f>
        <v/>
      </c>
      <c r="C36" s="13">
        <f>(1-($B36/100)*Quotes!$E$2*SUM($C$5:$C35))/(1+($B36/100)*Quotes!$E$2)</f>
        <v/>
      </c>
      <c r="D36" s="11">
        <f>(1/$C36-1)/$A36*100</f>
        <v/>
      </c>
      <c r="E36" s="11">
        <f>($C35/$C36-1)/Quotes!$E$2*100</f>
        <v/>
      </c>
    </row>
    <row r="37">
      <c r="A37" s="7">
        <f>Interpolation!B37</f>
        <v/>
      </c>
      <c r="B37" s="12">
        <f>Interpolation!F37</f>
        <v/>
      </c>
      <c r="C37" s="13">
        <f>(1-($B37/100)*Quotes!$E$2*SUM($C$5:$C36))/(1+($B37/100)*Quotes!$E$2)</f>
        <v/>
      </c>
      <c r="D37" s="11">
        <f>(1/$C37-1)/$A37*100</f>
        <v/>
      </c>
      <c r="E37" s="11">
        <f>($C36/$C37-1)/Quotes!$E$2*100</f>
        <v/>
      </c>
    </row>
    <row r="38">
      <c r="A38" s="7">
        <f>Interpolation!B38</f>
        <v/>
      </c>
      <c r="B38" s="12">
        <f>Interpolation!F38</f>
        <v/>
      </c>
      <c r="C38" s="13">
        <f>(1-($B38/100)*Quotes!$E$2*SUM($C$5:$C37))/(1+($B38/100)*Quotes!$E$2)</f>
        <v/>
      </c>
      <c r="D38" s="11">
        <f>(1/$C38-1)/$A38*100</f>
        <v/>
      </c>
      <c r="E38" s="11">
        <f>($C37/$C38-1)/Quotes!$E$2*100</f>
        <v/>
      </c>
    </row>
    <row r="39">
      <c r="A39" s="7">
        <f>Interpolation!B39</f>
        <v/>
      </c>
      <c r="B39" s="12">
        <f>Interpolation!F39</f>
        <v/>
      </c>
      <c r="C39" s="13">
        <f>(1-($B39/100)*Quotes!$E$2*SUM($C$5:$C38))/(1+($B39/100)*Quotes!$E$2)</f>
        <v/>
      </c>
      <c r="D39" s="11">
        <f>(1/$C39-1)/$A39*100</f>
        <v/>
      </c>
      <c r="E39" s="11">
        <f>($C38/$C39-1)/Quotes!$E$2*100</f>
        <v/>
      </c>
    </row>
    <row r="40">
      <c r="A40" s="7">
        <f>Interpolation!B40</f>
        <v/>
      </c>
      <c r="B40" s="12">
        <f>Interpolation!F40</f>
        <v/>
      </c>
      <c r="C40" s="13">
        <f>(1-($B40/100)*Quotes!$E$2*SUM($C$5:$C39))/(1+($B40/100)*Quotes!$E$2)</f>
        <v/>
      </c>
      <c r="D40" s="11">
        <f>(1/$C40-1)/$A40*100</f>
        <v/>
      </c>
      <c r="E40" s="11">
        <f>($C39/$C40-1)/Quotes!$E$2*100</f>
        <v/>
      </c>
    </row>
    <row r="41">
      <c r="A41" s="7">
        <f>Interpolation!B41</f>
        <v/>
      </c>
      <c r="B41" s="12">
        <f>Interpolation!F41</f>
        <v/>
      </c>
      <c r="C41" s="13">
        <f>(1-($B41/100)*Quotes!$E$2*SUM($C$5:$C40))/(1+($B41/100)*Quotes!$E$2)</f>
        <v/>
      </c>
      <c r="D41" s="11">
        <f>(1/$C41-1)/$A41*100</f>
        <v/>
      </c>
      <c r="E41" s="11">
        <f>($C40/$C41-1)/Quotes!$E$2*100</f>
        <v/>
      </c>
    </row>
    <row r="42">
      <c r="A42" s="7">
        <f>Interpolation!B42</f>
        <v/>
      </c>
      <c r="B42" s="12">
        <f>Interpolation!F42</f>
        <v/>
      </c>
      <c r="C42" s="13">
        <f>(1-($B42/100)*Quotes!$E$2*SUM($C$5:$C41))/(1+($B42/100)*Quotes!$E$2)</f>
        <v/>
      </c>
      <c r="D42" s="11">
        <f>(1/$C42-1)/$A42*100</f>
        <v/>
      </c>
      <c r="E42" s="11">
        <f>($C41/$C42-1)/Quotes!$E$2*100</f>
        <v/>
      </c>
    </row>
    <row r="43">
      <c r="A43" s="7">
        <f>Interpolation!B43</f>
        <v/>
      </c>
      <c r="B43" s="12">
        <f>Interpolation!F43</f>
        <v/>
      </c>
      <c r="C43" s="13">
        <f>(1-($B43/100)*Quotes!$E$2*SUM($C$5:$C42))/(1+($B43/100)*Quotes!$E$2)</f>
        <v/>
      </c>
      <c r="D43" s="11">
        <f>(1/$C43-1)/$A43*100</f>
        <v/>
      </c>
      <c r="E43" s="11">
        <f>($C42/$C43-1)/Quotes!$E$2*100</f>
        <v/>
      </c>
    </row>
    <row r="44">
      <c r="A44" s="7">
        <f>Interpolation!B44</f>
        <v/>
      </c>
      <c r="B44" s="12">
        <f>Interpolation!F44</f>
        <v/>
      </c>
      <c r="C44" s="13">
        <f>(1-($B44/100)*Quotes!$E$2*SUM($C$5:$C43))/(1+($B44/100)*Quotes!$E$2)</f>
        <v/>
      </c>
      <c r="D44" s="11">
        <f>(1/$C44-1)/$A44*100</f>
        <v/>
      </c>
      <c r="E44" s="11">
        <f>($C43/$C44-1)/Quotes!$E$2*100</f>
        <v/>
      </c>
    </row>
    <row r="45">
      <c r="A45" s="7">
        <f>Interpolation!B45</f>
        <v/>
      </c>
      <c r="B45" s="12">
        <f>Interpolation!F45</f>
        <v/>
      </c>
      <c r="C45" s="13">
        <f>(1-($B45/100)*Quotes!$E$2*SUM($C$5:$C44))/(1+($B45/100)*Quotes!$E$2)</f>
        <v/>
      </c>
      <c r="D45" s="11">
        <f>(1/$C45-1)/$A45*100</f>
        <v/>
      </c>
      <c r="E45" s="11">
        <f>($C44/$C45-1)/Quotes!$E$2*100</f>
        <v/>
      </c>
    </row>
    <row r="46">
      <c r="A46" s="7">
        <f>Interpolation!B46</f>
        <v/>
      </c>
      <c r="B46" s="12">
        <f>Interpolation!F46</f>
        <v/>
      </c>
      <c r="C46" s="13">
        <f>(1-($B46/100)*Quotes!$E$2*SUM($C$5:$C45))/(1+($B46/100)*Quotes!$E$2)</f>
        <v/>
      </c>
      <c r="D46" s="11">
        <f>(1/$C46-1)/$A46*100</f>
        <v/>
      </c>
      <c r="E46" s="11">
        <f>($C45/$C46-1)/Quotes!$E$2*100</f>
        <v/>
      </c>
    </row>
    <row r="47">
      <c r="A47" s="7">
        <f>Interpolation!B47</f>
        <v/>
      </c>
      <c r="B47" s="12">
        <f>Interpolation!F47</f>
        <v/>
      </c>
      <c r="C47" s="13">
        <f>(1-($B47/100)*Quotes!$E$2*SUM($C$5:$C46))/(1+($B47/100)*Quotes!$E$2)</f>
        <v/>
      </c>
      <c r="D47" s="11">
        <f>(1/$C47-1)/$A47*100</f>
        <v/>
      </c>
      <c r="E47" s="11">
        <f>($C46/$C47-1)/Quotes!$E$2*100</f>
        <v/>
      </c>
    </row>
    <row r="48">
      <c r="A48" s="7">
        <f>Interpolation!B48</f>
        <v/>
      </c>
      <c r="B48" s="12">
        <f>Interpolation!F48</f>
        <v/>
      </c>
      <c r="C48" s="13">
        <f>(1-($B48/100)*Quotes!$E$2*SUM($C$5:$C47))/(1+($B48/100)*Quotes!$E$2)</f>
        <v/>
      </c>
      <c r="D48" s="11">
        <f>(1/$C48-1)/$A48*100</f>
        <v/>
      </c>
      <c r="E48" s="11">
        <f>($C47/$C48-1)/Quotes!$E$2*100</f>
        <v/>
      </c>
    </row>
    <row r="49">
      <c r="A49" s="7">
        <f>Interpolation!B49</f>
        <v/>
      </c>
      <c r="B49" s="12">
        <f>Interpolation!F49</f>
        <v/>
      </c>
      <c r="C49" s="13">
        <f>(1-($B49/100)*Quotes!$E$2*SUM($C$5:$C48))/(1+($B49/100)*Quotes!$E$2)</f>
        <v/>
      </c>
      <c r="D49" s="11">
        <f>(1/$C49-1)/$A49*100</f>
        <v/>
      </c>
      <c r="E49" s="11">
        <f>($C48/$C49-1)/Quotes!$E$2*100</f>
        <v/>
      </c>
    </row>
    <row r="50">
      <c r="A50" s="7">
        <f>Interpolation!B50</f>
        <v/>
      </c>
      <c r="B50" s="12">
        <f>Interpolation!F50</f>
        <v/>
      </c>
      <c r="C50" s="13">
        <f>(1-($B50/100)*Quotes!$E$2*SUM($C$5:$C49))/(1+($B50/100)*Quotes!$E$2)</f>
        <v/>
      </c>
      <c r="D50" s="11">
        <f>(1/$C50-1)/$A50*100</f>
        <v/>
      </c>
      <c r="E50" s="11">
        <f>($C49/$C50-1)/Quotes!$E$2*100</f>
        <v/>
      </c>
    </row>
    <row r="51">
      <c r="A51" s="7">
        <f>Interpolation!B51</f>
        <v/>
      </c>
      <c r="B51" s="12">
        <f>Interpolation!F51</f>
        <v/>
      </c>
      <c r="C51" s="13">
        <f>(1-($B51/100)*Quotes!$E$2*SUM($C$5:$C50))/(1+($B51/100)*Quotes!$E$2)</f>
        <v/>
      </c>
      <c r="D51" s="11">
        <f>(1/$C51-1)/$A51*100</f>
        <v/>
      </c>
      <c r="E51" s="11">
        <f>($C50/$C51-1)/Quotes!$E$2*100</f>
        <v/>
      </c>
    </row>
    <row r="52">
      <c r="A52" s="7">
        <f>Interpolation!B52</f>
        <v/>
      </c>
      <c r="B52" s="12">
        <f>Interpolation!F52</f>
        <v/>
      </c>
      <c r="C52" s="13">
        <f>(1-($B52/100)*Quotes!$E$2*SUM($C$5:$C51))/(1+($B52/100)*Quotes!$E$2)</f>
        <v/>
      </c>
      <c r="D52" s="11">
        <f>(1/$C52-1)/$A52*100</f>
        <v/>
      </c>
      <c r="E52" s="11">
        <f>($C51/$C52-1)/Quotes!$E$2*100</f>
        <v/>
      </c>
    </row>
    <row r="53">
      <c r="A53" s="7">
        <f>Interpolation!B53</f>
        <v/>
      </c>
      <c r="B53" s="12">
        <f>Interpolation!F53</f>
        <v/>
      </c>
      <c r="C53" s="13">
        <f>(1-($B53/100)*Quotes!$E$2*SUM($C$5:$C52))/(1+($B53/100)*Quotes!$E$2)</f>
        <v/>
      </c>
      <c r="D53" s="11">
        <f>(1/$C53-1)/$A53*100</f>
        <v/>
      </c>
      <c r="E53" s="11">
        <f>($C52/$C53-1)/Quotes!$E$2*100</f>
        <v/>
      </c>
    </row>
    <row r="54">
      <c r="A54" s="7">
        <f>Interpolation!B54</f>
        <v/>
      </c>
      <c r="B54" s="12">
        <f>Interpolation!F54</f>
        <v/>
      </c>
      <c r="C54" s="13">
        <f>(1-($B54/100)*Quotes!$E$2*SUM($C$5:$C53))/(1+($B54/100)*Quotes!$E$2)</f>
        <v/>
      </c>
      <c r="D54" s="11">
        <f>(1/$C54-1)/$A54*100</f>
        <v/>
      </c>
      <c r="E54" s="11">
        <f>($C53/$C54-1)/Quotes!$E$2*100</f>
        <v/>
      </c>
    </row>
    <row r="55">
      <c r="A55" s="7">
        <f>Interpolation!B55</f>
        <v/>
      </c>
      <c r="B55" s="12">
        <f>Interpolation!F55</f>
        <v/>
      </c>
      <c r="C55" s="13">
        <f>(1-($B55/100)*Quotes!$E$2*SUM($C$5:$C54))/(1+($B55/100)*Quotes!$E$2)</f>
        <v/>
      </c>
      <c r="D55" s="11">
        <f>(1/$C55-1)/$A55*100</f>
        <v/>
      </c>
      <c r="E55" s="11">
        <f>($C54/$C55-1)/Quotes!$E$2*100</f>
        <v/>
      </c>
    </row>
    <row r="56">
      <c r="A56" s="7">
        <f>Interpolation!B56</f>
        <v/>
      </c>
      <c r="B56" s="12">
        <f>Interpolation!F56</f>
        <v/>
      </c>
      <c r="C56" s="13">
        <f>(1-($B56/100)*Quotes!$E$2*SUM($C$5:$C55))/(1+($B56/100)*Quotes!$E$2)</f>
        <v/>
      </c>
      <c r="D56" s="11">
        <f>(1/$C56-1)/$A56*100</f>
        <v/>
      </c>
      <c r="E56" s="11">
        <f>($C55/$C56-1)/Quotes!$E$2*100</f>
        <v/>
      </c>
    </row>
    <row r="57">
      <c r="A57" s="7">
        <f>Interpolation!B57</f>
        <v/>
      </c>
      <c r="B57" s="12">
        <f>Interpolation!F57</f>
        <v/>
      </c>
      <c r="C57" s="13">
        <f>(1-($B57/100)*Quotes!$E$2*SUM($C$5:$C56))/(1+($B57/100)*Quotes!$E$2)</f>
        <v/>
      </c>
      <c r="D57" s="11">
        <f>(1/$C57-1)/$A57*100</f>
        <v/>
      </c>
      <c r="E57" s="11">
        <f>($C56/$C57-1)/Quotes!$E$2*100</f>
        <v/>
      </c>
    </row>
    <row r="58">
      <c r="A58" s="7">
        <f>Interpolation!B58</f>
        <v/>
      </c>
      <c r="B58" s="12">
        <f>Interpolation!F58</f>
        <v/>
      </c>
      <c r="C58" s="13">
        <f>(1-($B58/100)*Quotes!$E$2*SUM($C$5:$C57))/(1+($B58/100)*Quotes!$E$2)</f>
        <v/>
      </c>
      <c r="D58" s="11">
        <f>(1/$C58-1)/$A58*100</f>
        <v/>
      </c>
      <c r="E58" s="11">
        <f>($C57/$C58-1)/Quotes!$E$2*100</f>
        <v/>
      </c>
    </row>
    <row r="59">
      <c r="A59" s="7">
        <f>Interpolation!B59</f>
        <v/>
      </c>
      <c r="B59" s="12">
        <f>Interpolation!F59</f>
        <v/>
      </c>
      <c r="C59" s="13">
        <f>(1-($B59/100)*Quotes!$E$2*SUM($C$5:$C58))/(1+($B59/100)*Quotes!$E$2)</f>
        <v/>
      </c>
      <c r="D59" s="11">
        <f>(1/$C59-1)/$A59*100</f>
        <v/>
      </c>
      <c r="E59" s="11">
        <f>($C58/$C59-1)/Quotes!$E$2*100</f>
        <v/>
      </c>
    </row>
    <row r="60">
      <c r="A60" s="7">
        <f>Interpolation!B60</f>
        <v/>
      </c>
      <c r="B60" s="12">
        <f>Interpolation!F60</f>
        <v/>
      </c>
      <c r="C60" s="13">
        <f>(1-($B60/100)*Quotes!$E$2*SUM($C$5:$C59))/(1+($B60/100)*Quotes!$E$2)</f>
        <v/>
      </c>
      <c r="D60" s="11">
        <f>(1/$C60-1)/$A60*100</f>
        <v/>
      </c>
      <c r="E60" s="11">
        <f>($C59/$C60-1)/Quotes!$E$2*100</f>
        <v/>
      </c>
    </row>
    <row r="61">
      <c r="A61" s="7">
        <f>Interpolation!B61</f>
        <v/>
      </c>
      <c r="B61" s="12">
        <f>Interpolation!F61</f>
        <v/>
      </c>
      <c r="C61" s="13">
        <f>(1-($B61/100)*Quotes!$E$2*SUM($C$5:$C60))/(1+($B61/100)*Quotes!$E$2)</f>
        <v/>
      </c>
      <c r="D61" s="11">
        <f>(1/$C61-1)/$A61*100</f>
        <v/>
      </c>
      <c r="E61" s="11">
        <f>($C60/$C61-1)/Quotes!$E$2*100</f>
        <v/>
      </c>
    </row>
    <row r="62">
      <c r="A62" s="7">
        <f>Interpolation!B62</f>
        <v/>
      </c>
      <c r="B62" s="12">
        <f>Interpolation!F62</f>
        <v/>
      </c>
      <c r="C62" s="13">
        <f>(1-($B62/100)*Quotes!$E$2*SUM($C$5:$C61))/(1+($B62/100)*Quotes!$E$2)</f>
        <v/>
      </c>
      <c r="D62" s="11">
        <f>(1/$C62-1)/$A62*100</f>
        <v/>
      </c>
      <c r="E62" s="11">
        <f>($C61/$C62-1)/Quotes!$E$2*100</f>
        <v/>
      </c>
    </row>
    <row r="63">
      <c r="A63" s="7">
        <f>Interpolation!B63</f>
        <v/>
      </c>
      <c r="B63" s="12">
        <f>Interpolation!F63</f>
        <v/>
      </c>
      <c r="C63" s="13">
        <f>(1-($B63/100)*Quotes!$E$2*SUM($C$5:$C62))/(1+($B63/100)*Quotes!$E$2)</f>
        <v/>
      </c>
      <c r="D63" s="11">
        <f>(1/$C63-1)/$A63*100</f>
        <v/>
      </c>
      <c r="E63" s="11">
        <f>($C62/$C63-1)/Quotes!$E$2*100</f>
        <v/>
      </c>
    </row>
    <row r="64">
      <c r="A64" s="7">
        <f>Interpolation!B64</f>
        <v/>
      </c>
      <c r="B64" s="12">
        <f>Interpolation!F64</f>
        <v/>
      </c>
      <c r="C64" s="13">
        <f>(1-($B64/100)*Quotes!$E$2*SUM($C$5:$C63))/(1+($B64/100)*Quotes!$E$2)</f>
        <v/>
      </c>
      <c r="D64" s="11">
        <f>(1/$C64-1)/$A64*100</f>
        <v/>
      </c>
      <c r="E64" s="11">
        <f>($C63/$C64-1)/Quotes!$E$2*100</f>
        <v/>
      </c>
    </row>
    <row r="65">
      <c r="A65" s="7">
        <f>Interpolation!B65</f>
        <v/>
      </c>
      <c r="B65" s="12">
        <f>Interpolation!F65</f>
        <v/>
      </c>
      <c r="C65" s="13">
        <f>(1-($B65/100)*Quotes!$E$2*SUM($C$5:$C64))/(1+($B65/100)*Quotes!$E$2)</f>
        <v/>
      </c>
      <c r="D65" s="11">
        <f>(1/$C65-1)/$A65*100</f>
        <v/>
      </c>
      <c r="E65" s="11">
        <f>($C64/$C65-1)/Quotes!$E$2*100</f>
        <v/>
      </c>
    </row>
    <row r="66">
      <c r="A66" s="7">
        <f>Interpolation!B66</f>
        <v/>
      </c>
      <c r="B66" s="12">
        <f>Interpolation!F66</f>
        <v/>
      </c>
      <c r="C66" s="13">
        <f>(1-($B66/100)*Quotes!$E$2*SUM($C$5:$C65))/(1+($B66/100)*Quotes!$E$2)</f>
        <v/>
      </c>
      <c r="D66" s="11">
        <f>(1/$C66-1)/$A66*100</f>
        <v/>
      </c>
      <c r="E66" s="11">
        <f>($C65/$C66-1)/Quotes!$E$2*100</f>
        <v/>
      </c>
    </row>
    <row r="67">
      <c r="A67" s="7">
        <f>Interpolation!B67</f>
        <v/>
      </c>
      <c r="B67" s="12">
        <f>Interpolation!F67</f>
        <v/>
      </c>
      <c r="C67" s="13">
        <f>(1-($B67/100)*Quotes!$E$2*SUM($C$5:$C66))/(1+($B67/100)*Quotes!$E$2)</f>
        <v/>
      </c>
      <c r="D67" s="11">
        <f>(1/$C67-1)/$A67*100</f>
        <v/>
      </c>
      <c r="E67" s="11">
        <f>($C66/$C67-1)/Quotes!$E$2*100</f>
        <v/>
      </c>
    </row>
    <row r="68">
      <c r="A68" s="7">
        <f>Interpolation!B68</f>
        <v/>
      </c>
      <c r="B68" s="12">
        <f>Interpolation!F68</f>
        <v/>
      </c>
      <c r="C68" s="13">
        <f>(1-($B68/100)*Quotes!$E$2*SUM($C$5:$C67))/(1+($B68/100)*Quotes!$E$2)</f>
        <v/>
      </c>
      <c r="D68" s="11">
        <f>(1/$C68-1)/$A68*100</f>
        <v/>
      </c>
      <c r="E68" s="11">
        <f>($C67/$C68-1)/Quotes!$E$2*100</f>
        <v/>
      </c>
    </row>
    <row r="69">
      <c r="A69" s="7">
        <f>Interpolation!B69</f>
        <v/>
      </c>
      <c r="B69" s="12">
        <f>Interpolation!F69</f>
        <v/>
      </c>
      <c r="C69" s="13">
        <f>(1-($B69/100)*Quotes!$E$2*SUM($C$5:$C68))/(1+($B69/100)*Quotes!$E$2)</f>
        <v/>
      </c>
      <c r="D69" s="11">
        <f>(1/$C69-1)/$A69*100</f>
        <v/>
      </c>
      <c r="E69" s="11">
        <f>($C68/$C69-1)/Quotes!$E$2*100</f>
        <v/>
      </c>
    </row>
    <row r="70">
      <c r="A70" s="7">
        <f>Interpolation!B70</f>
        <v/>
      </c>
      <c r="B70" s="12">
        <f>Interpolation!F70</f>
        <v/>
      </c>
      <c r="C70" s="13">
        <f>(1-($B70/100)*Quotes!$E$2*SUM($C$5:$C69))/(1+($B70/100)*Quotes!$E$2)</f>
        <v/>
      </c>
      <c r="D70" s="11">
        <f>(1/$C70-1)/$A70*100</f>
        <v/>
      </c>
      <c r="E70" s="11">
        <f>($C69/$C70-1)/Quotes!$E$2*100</f>
        <v/>
      </c>
    </row>
    <row r="71">
      <c r="A71" s="7">
        <f>Interpolation!B71</f>
        <v/>
      </c>
      <c r="B71" s="12">
        <f>Interpolation!F71</f>
        <v/>
      </c>
      <c r="C71" s="13">
        <f>(1-($B71/100)*Quotes!$E$2*SUM($C$5:$C70))/(1+($B71/100)*Quotes!$E$2)</f>
        <v/>
      </c>
      <c r="D71" s="11">
        <f>(1/$C71-1)/$A71*100</f>
        <v/>
      </c>
      <c r="E71" s="11">
        <f>($C70/$C71-1)/Quotes!$E$2*100</f>
        <v/>
      </c>
    </row>
    <row r="72">
      <c r="A72" s="7">
        <f>Interpolation!B72</f>
        <v/>
      </c>
      <c r="B72" s="12">
        <f>Interpolation!F72</f>
        <v/>
      </c>
      <c r="C72" s="13">
        <f>(1-($B72/100)*Quotes!$E$2*SUM($C$5:$C71))/(1+($B72/100)*Quotes!$E$2)</f>
        <v/>
      </c>
      <c r="D72" s="11">
        <f>(1/$C72-1)/$A72*100</f>
        <v/>
      </c>
      <c r="E72" s="11">
        <f>($C71/$C72-1)/Quotes!$E$2*100</f>
        <v/>
      </c>
    </row>
    <row r="73">
      <c r="A73" s="7">
        <f>Interpolation!B73</f>
        <v/>
      </c>
      <c r="B73" s="12">
        <f>Interpolation!F73</f>
        <v/>
      </c>
      <c r="C73" s="13">
        <f>(1-($B73/100)*Quotes!$E$2*SUM($C$5:$C72))/(1+($B73/100)*Quotes!$E$2)</f>
        <v/>
      </c>
      <c r="D73" s="11">
        <f>(1/$C73-1)/$A73*100</f>
        <v/>
      </c>
      <c r="E73" s="11">
        <f>($C72/$C73-1)/Quotes!$E$2*100</f>
        <v/>
      </c>
    </row>
    <row r="74">
      <c r="A74" s="7">
        <f>Interpolation!B74</f>
        <v/>
      </c>
      <c r="B74" s="12">
        <f>Interpolation!F74</f>
        <v/>
      </c>
      <c r="C74" s="13">
        <f>(1-($B74/100)*Quotes!$E$2*SUM($C$5:$C73))/(1+($B74/100)*Quotes!$E$2)</f>
        <v/>
      </c>
      <c r="D74" s="11">
        <f>(1/$C74-1)/$A74*100</f>
        <v/>
      </c>
      <c r="E74" s="11">
        <f>($C73/$C74-1)/Quotes!$E$2*100</f>
        <v/>
      </c>
    </row>
    <row r="75">
      <c r="A75" s="7">
        <f>Interpolation!B75</f>
        <v/>
      </c>
      <c r="B75" s="12">
        <f>Interpolation!F75</f>
        <v/>
      </c>
      <c r="C75" s="13">
        <f>(1-($B75/100)*Quotes!$E$2*SUM($C$5:$C74))/(1+($B75/100)*Quotes!$E$2)</f>
        <v/>
      </c>
      <c r="D75" s="11">
        <f>(1/$C75-1)/$A75*100</f>
        <v/>
      </c>
      <c r="E75" s="11">
        <f>($C74/$C75-1)/Quotes!$E$2*100</f>
        <v/>
      </c>
    </row>
    <row r="76">
      <c r="A76" s="7">
        <f>Interpolation!B76</f>
        <v/>
      </c>
      <c r="B76" s="12">
        <f>Interpolation!F76</f>
        <v/>
      </c>
      <c r="C76" s="13">
        <f>(1-($B76/100)*Quotes!$E$2*SUM($C$5:$C75))/(1+($B76/100)*Quotes!$E$2)</f>
        <v/>
      </c>
      <c r="D76" s="11">
        <f>(1/$C76-1)/$A76*100</f>
        <v/>
      </c>
      <c r="E76" s="11">
        <f>($C75/$C76-1)/Quotes!$E$2*100</f>
        <v/>
      </c>
    </row>
    <row r="77">
      <c r="A77" s="7">
        <f>Interpolation!B77</f>
        <v/>
      </c>
      <c r="B77" s="12">
        <f>Interpolation!F77</f>
        <v/>
      </c>
      <c r="C77" s="13">
        <f>(1-($B77/100)*Quotes!$E$2*SUM($C$5:$C76))/(1+($B77/100)*Quotes!$E$2)</f>
        <v/>
      </c>
      <c r="D77" s="11">
        <f>(1/$C77-1)/$A77*100</f>
        <v/>
      </c>
      <c r="E77" s="11">
        <f>($C76/$C77-1)/Quotes!$E$2*100</f>
        <v/>
      </c>
    </row>
    <row r="78">
      <c r="A78" s="7">
        <f>Interpolation!B78</f>
        <v/>
      </c>
      <c r="B78" s="12">
        <f>Interpolation!F78</f>
        <v/>
      </c>
      <c r="C78" s="13">
        <f>(1-($B78/100)*Quotes!$E$2*SUM($C$5:$C77))/(1+($B78/100)*Quotes!$E$2)</f>
        <v/>
      </c>
      <c r="D78" s="11">
        <f>(1/$C78-1)/$A78*100</f>
        <v/>
      </c>
      <c r="E78" s="11">
        <f>($C77/$C78-1)/Quotes!$E$2*100</f>
        <v/>
      </c>
    </row>
    <row r="79">
      <c r="A79" s="7">
        <f>Interpolation!B79</f>
        <v/>
      </c>
      <c r="B79" s="12">
        <f>Interpolation!F79</f>
        <v/>
      </c>
      <c r="C79" s="13">
        <f>(1-($B79/100)*Quotes!$E$2*SUM($C$5:$C78))/(1+($B79/100)*Quotes!$E$2)</f>
        <v/>
      </c>
      <c r="D79" s="11">
        <f>(1/$C79-1)/$A79*100</f>
        <v/>
      </c>
      <c r="E79" s="11">
        <f>($C78/$C79-1)/Quotes!$E$2*100</f>
        <v/>
      </c>
    </row>
    <row r="80">
      <c r="A80" s="7">
        <f>Interpolation!B80</f>
        <v/>
      </c>
      <c r="B80" s="12">
        <f>Interpolation!F80</f>
        <v/>
      </c>
      <c r="C80" s="13">
        <f>(1-($B80/100)*Quotes!$E$2*SUM($C$5:$C79))/(1+($B80/100)*Quotes!$E$2)</f>
        <v/>
      </c>
      <c r="D80" s="11">
        <f>(1/$C80-1)/$A80*100</f>
        <v/>
      </c>
      <c r="E80" s="11">
        <f>($C79/$C80-1)/Quotes!$E$2*100</f>
        <v/>
      </c>
    </row>
    <row r="81">
      <c r="A81" s="7">
        <f>Interpolation!B81</f>
        <v/>
      </c>
      <c r="B81" s="12">
        <f>Interpolation!F81</f>
        <v/>
      </c>
      <c r="C81" s="13">
        <f>(1-($B81/100)*Quotes!$E$2*SUM($C$5:$C80))/(1+($B81/100)*Quotes!$E$2)</f>
        <v/>
      </c>
      <c r="D81" s="11">
        <f>(1/$C81-1)/$A81*100</f>
        <v/>
      </c>
      <c r="E81" s="11">
        <f>($C80/$C81-1)/Quotes!$E$2*100</f>
        <v/>
      </c>
    </row>
    <row r="82">
      <c r="A82" s="7">
        <f>Interpolation!B82</f>
        <v/>
      </c>
      <c r="B82" s="12">
        <f>Interpolation!F82</f>
        <v/>
      </c>
      <c r="C82" s="13">
        <f>(1-($B82/100)*Quotes!$E$2*SUM($C$5:$C81))/(1+($B82/100)*Quotes!$E$2)</f>
        <v/>
      </c>
      <c r="D82" s="11">
        <f>(1/$C82-1)/$A82*100</f>
        <v/>
      </c>
      <c r="E82" s="11">
        <f>($C81/$C82-1)/Quotes!$E$2*100</f>
        <v/>
      </c>
    </row>
    <row r="83">
      <c r="A83" s="7">
        <f>Interpolation!B83</f>
        <v/>
      </c>
      <c r="B83" s="12">
        <f>Interpolation!F83</f>
        <v/>
      </c>
      <c r="C83" s="13">
        <f>(1-($B83/100)*Quotes!$E$2*SUM($C$5:$C82))/(1+($B83/100)*Quotes!$E$2)</f>
        <v/>
      </c>
      <c r="D83" s="11">
        <f>(1/$C83-1)/$A83*100</f>
        <v/>
      </c>
      <c r="E83" s="11">
        <f>($C82/$C83-1)/Quotes!$E$2*100</f>
        <v/>
      </c>
    </row>
    <row r="84">
      <c r="A84" s="7">
        <f>Interpolation!B84</f>
        <v/>
      </c>
      <c r="B84" s="12">
        <f>Interpolation!F84</f>
        <v/>
      </c>
      <c r="C84" s="13">
        <f>(1-($B84/100)*Quotes!$E$2*SUM($C$5:$C83))/(1+($B84/100)*Quotes!$E$2)</f>
        <v/>
      </c>
      <c r="D84" s="11">
        <f>(1/$C84-1)/$A84*100</f>
        <v/>
      </c>
      <c r="E84" s="11">
        <f>($C83/$C84-1)/Quotes!$E$2*100</f>
        <v/>
      </c>
    </row>
    <row r="85">
      <c r="A85" s="7">
        <f>Interpolation!B85</f>
        <v/>
      </c>
      <c r="B85" s="12">
        <f>Interpolation!F85</f>
        <v/>
      </c>
      <c r="C85" s="13">
        <f>(1-($B85/100)*Quotes!$E$2*SUM($C$5:$C84))/(1+($B85/100)*Quotes!$E$2)</f>
        <v/>
      </c>
      <c r="D85" s="11">
        <f>(1/$C85-1)/$A85*100</f>
        <v/>
      </c>
      <c r="E85" s="11">
        <f>($C84/$C85-1)/Quotes!$E$2*100</f>
        <v/>
      </c>
    </row>
    <row r="86">
      <c r="A86" s="7">
        <f>Interpolation!B86</f>
        <v/>
      </c>
      <c r="B86" s="12">
        <f>Interpolation!F86</f>
        <v/>
      </c>
      <c r="C86" s="13">
        <f>(1-($B86/100)*Quotes!$E$2*SUM($C$5:$C85))/(1+($B86/100)*Quotes!$E$2)</f>
        <v/>
      </c>
      <c r="D86" s="11">
        <f>(1/$C86-1)/$A86*100</f>
        <v/>
      </c>
      <c r="E86" s="11">
        <f>($C85/$C86-1)/Quotes!$E$2*100</f>
        <v/>
      </c>
    </row>
    <row r="87">
      <c r="A87" s="7">
        <f>Interpolation!B87</f>
        <v/>
      </c>
      <c r="B87" s="12">
        <f>Interpolation!F87</f>
        <v/>
      </c>
      <c r="C87" s="13">
        <f>(1-($B87/100)*Quotes!$E$2*SUM($C$5:$C86))/(1+($B87/100)*Quotes!$E$2)</f>
        <v/>
      </c>
      <c r="D87" s="11">
        <f>(1/$C87-1)/$A87*100</f>
        <v/>
      </c>
      <c r="E87" s="11">
        <f>($C86/$C87-1)/Quotes!$E$2*100</f>
        <v/>
      </c>
    </row>
    <row r="88">
      <c r="A88" s="7">
        <f>Interpolation!B88</f>
        <v/>
      </c>
      <c r="B88" s="12">
        <f>Interpolation!F88</f>
        <v/>
      </c>
      <c r="C88" s="13">
        <f>(1-($B88/100)*Quotes!$E$2*SUM($C$5:$C87))/(1+($B88/100)*Quotes!$E$2)</f>
        <v/>
      </c>
      <c r="D88" s="11">
        <f>(1/$C88-1)/$A88*100</f>
        <v/>
      </c>
      <c r="E88" s="11">
        <f>($C87/$C88-1)/Quotes!$E$2*100</f>
        <v/>
      </c>
    </row>
    <row r="89">
      <c r="A89" s="7">
        <f>Interpolation!B89</f>
        <v/>
      </c>
      <c r="B89" s="12">
        <f>Interpolation!F89</f>
        <v/>
      </c>
      <c r="C89" s="13">
        <f>(1-($B89/100)*Quotes!$E$2*SUM($C$5:$C88))/(1+($B89/100)*Quotes!$E$2)</f>
        <v/>
      </c>
      <c r="D89" s="11">
        <f>(1/$C89-1)/$A89*100</f>
        <v/>
      </c>
      <c r="E89" s="11">
        <f>($C88/$C89-1)/Quotes!$E$2*100</f>
        <v/>
      </c>
    </row>
    <row r="90">
      <c r="A90" s="7">
        <f>Interpolation!B90</f>
        <v/>
      </c>
      <c r="B90" s="12">
        <f>Interpolation!F90</f>
        <v/>
      </c>
      <c r="C90" s="13">
        <f>(1-($B90/100)*Quotes!$E$2*SUM($C$5:$C89))/(1+($B90/100)*Quotes!$E$2)</f>
        <v/>
      </c>
      <c r="D90" s="11">
        <f>(1/$C90-1)/$A90*100</f>
        <v/>
      </c>
      <c r="E90" s="11">
        <f>($C89/$C90-1)/Quotes!$E$2*100</f>
        <v/>
      </c>
    </row>
    <row r="91">
      <c r="A91" s="7">
        <f>Interpolation!B91</f>
        <v/>
      </c>
      <c r="B91" s="12">
        <f>Interpolation!F91</f>
        <v/>
      </c>
      <c r="C91" s="13">
        <f>(1-($B91/100)*Quotes!$E$2*SUM($C$5:$C90))/(1+($B91/100)*Quotes!$E$2)</f>
        <v/>
      </c>
      <c r="D91" s="11">
        <f>(1/$C91-1)/$A91*100</f>
        <v/>
      </c>
      <c r="E91" s="11">
        <f>($C90/$C91-1)/Quotes!$E$2*100</f>
        <v/>
      </c>
    </row>
    <row r="92">
      <c r="A92" s="7">
        <f>Interpolation!B92</f>
        <v/>
      </c>
      <c r="B92" s="12">
        <f>Interpolation!F92</f>
        <v/>
      </c>
      <c r="C92" s="13">
        <f>(1-($B92/100)*Quotes!$E$2*SUM($C$5:$C91))/(1+($B92/100)*Quotes!$E$2)</f>
        <v/>
      </c>
      <c r="D92" s="11">
        <f>(1/$C92-1)/$A92*100</f>
        <v/>
      </c>
      <c r="E92" s="11">
        <f>($C91/$C92-1)/Quotes!$E$2*100</f>
        <v/>
      </c>
    </row>
    <row r="93">
      <c r="A93" s="7">
        <f>Interpolation!B93</f>
        <v/>
      </c>
      <c r="B93" s="12">
        <f>Interpolation!F93</f>
        <v/>
      </c>
      <c r="C93" s="13">
        <f>(1-($B93/100)*Quotes!$E$2*SUM($C$5:$C92))/(1+($B93/100)*Quotes!$E$2)</f>
        <v/>
      </c>
      <c r="D93" s="11">
        <f>(1/$C93-1)/$A93*100</f>
        <v/>
      </c>
      <c r="E93" s="11">
        <f>($C92/$C93-1)/Quotes!$E$2*100</f>
        <v/>
      </c>
    </row>
    <row r="94">
      <c r="A94" s="7">
        <f>Interpolation!B94</f>
        <v/>
      </c>
      <c r="B94" s="12">
        <f>Interpolation!F94</f>
        <v/>
      </c>
      <c r="C94" s="13">
        <f>(1-($B94/100)*Quotes!$E$2*SUM($C$5:$C93))/(1+($B94/100)*Quotes!$E$2)</f>
        <v/>
      </c>
      <c r="D94" s="11">
        <f>(1/$C94-1)/$A94*100</f>
        <v/>
      </c>
      <c r="E94" s="11">
        <f>($C93/$C94-1)/Quotes!$E$2*100</f>
        <v/>
      </c>
    </row>
    <row r="95">
      <c r="A95" s="7">
        <f>Interpolation!B95</f>
        <v/>
      </c>
      <c r="B95" s="12">
        <f>Interpolation!F95</f>
        <v/>
      </c>
      <c r="C95" s="13">
        <f>(1-($B95/100)*Quotes!$E$2*SUM($C$5:$C94))/(1+($B95/100)*Quotes!$E$2)</f>
        <v/>
      </c>
      <c r="D95" s="11">
        <f>(1/$C95-1)/$A95*100</f>
        <v/>
      </c>
      <c r="E95" s="11">
        <f>($C94/$C95-1)/Quotes!$E$2*100</f>
        <v/>
      </c>
    </row>
    <row r="96">
      <c r="A96" s="7">
        <f>Interpolation!B96</f>
        <v/>
      </c>
      <c r="B96" s="12">
        <f>Interpolation!F96</f>
        <v/>
      </c>
      <c r="C96" s="13">
        <f>(1-($B96/100)*Quotes!$E$2*SUM($C$5:$C95))/(1+($B96/100)*Quotes!$E$2)</f>
        <v/>
      </c>
      <c r="D96" s="11">
        <f>(1/$C96-1)/$A96*100</f>
        <v/>
      </c>
      <c r="E96" s="11">
        <f>($C95/$C96-1)/Quotes!$E$2*100</f>
        <v/>
      </c>
    </row>
    <row r="97">
      <c r="A97" s="7">
        <f>Interpolation!B97</f>
        <v/>
      </c>
      <c r="B97" s="12">
        <f>Interpolation!F97</f>
        <v/>
      </c>
      <c r="C97" s="13">
        <f>(1-($B97/100)*Quotes!$E$2*SUM($C$5:$C96))/(1+($B97/100)*Quotes!$E$2)</f>
        <v/>
      </c>
      <c r="D97" s="11">
        <f>(1/$C97-1)/$A97*100</f>
        <v/>
      </c>
      <c r="E97" s="11">
        <f>($C96/$C97-1)/Quotes!$E$2*100</f>
        <v/>
      </c>
    </row>
    <row r="98">
      <c r="A98" s="7">
        <f>Interpolation!B98</f>
        <v/>
      </c>
      <c r="B98" s="12">
        <f>Interpolation!F98</f>
        <v/>
      </c>
      <c r="C98" s="13">
        <f>(1-($B98/100)*Quotes!$E$2*SUM($C$5:$C97))/(1+($B98/100)*Quotes!$E$2)</f>
        <v/>
      </c>
      <c r="D98" s="11">
        <f>(1/$C98-1)/$A98*100</f>
        <v/>
      </c>
      <c r="E98" s="11">
        <f>($C97/$C98-1)/Quotes!$E$2*100</f>
        <v/>
      </c>
    </row>
    <row r="99">
      <c r="A99" s="7">
        <f>Interpolation!B99</f>
        <v/>
      </c>
      <c r="B99" s="12">
        <f>Interpolation!F99</f>
        <v/>
      </c>
      <c r="C99" s="13">
        <f>(1-($B99/100)*Quotes!$E$2*SUM($C$5:$C98))/(1+($B99/100)*Quotes!$E$2)</f>
        <v/>
      </c>
      <c r="D99" s="11">
        <f>(1/$C99-1)/$A99*100</f>
        <v/>
      </c>
      <c r="E99" s="11">
        <f>($C98/$C99-1)/Quotes!$E$2*100</f>
        <v/>
      </c>
    </row>
    <row r="100">
      <c r="A100" s="7">
        <f>Interpolation!B100</f>
        <v/>
      </c>
      <c r="B100" s="12">
        <f>Interpolation!F100</f>
        <v/>
      </c>
      <c r="C100" s="13">
        <f>(1-($B100/100)*Quotes!$E$2*SUM($C$5:$C99))/(1+($B100/100)*Quotes!$E$2)</f>
        <v/>
      </c>
      <c r="D100" s="11">
        <f>(1/$C100-1)/$A100*100</f>
        <v/>
      </c>
      <c r="E100" s="11">
        <f>($C99/$C100-1)/Quotes!$E$2*100</f>
        <v/>
      </c>
    </row>
    <row r="101">
      <c r="A101" s="7">
        <f>Interpolation!B101</f>
        <v/>
      </c>
      <c r="B101" s="12">
        <f>Interpolation!F101</f>
        <v/>
      </c>
      <c r="C101" s="13">
        <f>(1-($B101/100)*Quotes!$E$2*SUM($C$5:$C100))/(1+($B101/100)*Quotes!$E$2)</f>
        <v/>
      </c>
      <c r="D101" s="11">
        <f>(1/$C101-1)/$A101*100</f>
        <v/>
      </c>
      <c r="E101" s="11">
        <f>($C100/$C101-1)/Quotes!$E$2*100</f>
        <v/>
      </c>
    </row>
    <row r="102">
      <c r="A102" s="7">
        <f>Interpolation!B102</f>
        <v/>
      </c>
      <c r="B102" s="12">
        <f>Interpolation!F102</f>
        <v/>
      </c>
      <c r="C102" s="13">
        <f>(1-($B102/100)*Quotes!$E$2*SUM($C$5:$C101))/(1+($B102/100)*Quotes!$E$2)</f>
        <v/>
      </c>
      <c r="D102" s="11">
        <f>(1/$C102-1)/$A102*100</f>
        <v/>
      </c>
      <c r="E102" s="11">
        <f>($C101/$C102-1)/Quotes!$E$2*100</f>
        <v/>
      </c>
    </row>
    <row r="103">
      <c r="A103" s="7">
        <f>Interpolation!B103</f>
        <v/>
      </c>
      <c r="B103" s="12">
        <f>Interpolation!F103</f>
        <v/>
      </c>
      <c r="C103" s="13">
        <f>(1-($B103/100)*Quotes!$E$2*SUM($C$5:$C102))/(1+($B103/100)*Quotes!$E$2)</f>
        <v/>
      </c>
      <c r="D103" s="11">
        <f>(1/$C103-1)/$A103*100</f>
        <v/>
      </c>
      <c r="E103" s="11">
        <f>($C102/$C103-1)/Quotes!$E$2*100</f>
        <v/>
      </c>
    </row>
    <row r="104">
      <c r="A104" s="7">
        <f>Interpolation!B104</f>
        <v/>
      </c>
      <c r="B104" s="12">
        <f>Interpolation!F104</f>
        <v/>
      </c>
      <c r="C104" s="13">
        <f>(1-($B104/100)*Quotes!$E$2*SUM($C$5:$C103))/(1+($B104/100)*Quotes!$E$2)</f>
        <v/>
      </c>
      <c r="D104" s="11">
        <f>(1/$C104-1)/$A104*100</f>
        <v/>
      </c>
      <c r="E104" s="11">
        <f>($C103/$C104-1)/Quotes!$E$2*100</f>
        <v/>
      </c>
    </row>
    <row r="105">
      <c r="A105" s="7">
        <f>Interpolation!B105</f>
        <v/>
      </c>
      <c r="B105" s="12">
        <f>Interpolation!F105</f>
        <v/>
      </c>
      <c r="C105" s="13">
        <f>(1-($B105/100)*Quotes!$E$2*SUM($C$5:$C104))/(1+($B105/100)*Quotes!$E$2)</f>
        <v/>
      </c>
      <c r="D105" s="11">
        <f>(1/$C105-1)/$A105*100</f>
        <v/>
      </c>
      <c r="E105" s="11">
        <f>($C104/$C105-1)/Quotes!$E$2*100</f>
        <v/>
      </c>
    </row>
    <row r="106">
      <c r="A106" s="7">
        <f>Interpolation!B106</f>
        <v/>
      </c>
      <c r="B106" s="12">
        <f>Interpolation!F106</f>
        <v/>
      </c>
      <c r="C106" s="13">
        <f>(1-($B106/100)*Quotes!$E$2*SUM($C$5:$C105))/(1+($B106/100)*Quotes!$E$2)</f>
        <v/>
      </c>
      <c r="D106" s="11">
        <f>(1/$C106-1)/$A106*100</f>
        <v/>
      </c>
      <c r="E106" s="11">
        <f>($C105/$C106-1)/Quotes!$E$2*100</f>
        <v/>
      </c>
    </row>
    <row r="107">
      <c r="A107" s="7">
        <f>Interpolation!B107</f>
        <v/>
      </c>
      <c r="B107" s="12">
        <f>Interpolation!F107</f>
        <v/>
      </c>
      <c r="C107" s="13">
        <f>(1-($B107/100)*Quotes!$E$2*SUM($C$5:$C106))/(1+($B107/100)*Quotes!$E$2)</f>
        <v/>
      </c>
      <c r="D107" s="11">
        <f>(1/$C107-1)/$A107*100</f>
        <v/>
      </c>
      <c r="E107" s="11">
        <f>($C106/$C107-1)/Quotes!$E$2*100</f>
        <v/>
      </c>
    </row>
    <row r="108">
      <c r="A108" s="7">
        <f>Interpolation!B108</f>
        <v/>
      </c>
      <c r="B108" s="12">
        <f>Interpolation!F108</f>
        <v/>
      </c>
      <c r="C108" s="13">
        <f>(1-($B108/100)*Quotes!$E$2*SUM($C$5:$C107))/(1+($B108/100)*Quotes!$E$2)</f>
        <v/>
      </c>
      <c r="D108" s="11">
        <f>(1/$C108-1)/$A108*100</f>
        <v/>
      </c>
      <c r="E108" s="11">
        <f>($C107/$C108-1)/Quotes!$E$2*100</f>
        <v/>
      </c>
    </row>
    <row r="109">
      <c r="A109" s="7">
        <f>Interpolation!B109</f>
        <v/>
      </c>
      <c r="B109" s="12">
        <f>Interpolation!F109</f>
        <v/>
      </c>
      <c r="C109" s="13">
        <f>(1-($B109/100)*Quotes!$E$2*SUM($C$5:$C108))/(1+($B109/100)*Quotes!$E$2)</f>
        <v/>
      </c>
      <c r="D109" s="11">
        <f>(1/$C109-1)/$A109*100</f>
        <v/>
      </c>
      <c r="E109" s="11">
        <f>($C108/$C109-1)/Quotes!$E$2*100</f>
        <v/>
      </c>
    </row>
    <row r="110">
      <c r="A110" s="7">
        <f>Interpolation!B110</f>
        <v/>
      </c>
      <c r="B110" s="12">
        <f>Interpolation!F110</f>
        <v/>
      </c>
      <c r="C110" s="13">
        <f>(1-($B110/100)*Quotes!$E$2*SUM($C$5:$C109))/(1+($B110/100)*Quotes!$E$2)</f>
        <v/>
      </c>
      <c r="D110" s="11">
        <f>(1/$C110-1)/$A110*100</f>
        <v/>
      </c>
      <c r="E110" s="11">
        <f>($C109/$C110-1)/Quotes!$E$2*100</f>
        <v/>
      </c>
    </row>
    <row r="111">
      <c r="A111" s="7">
        <f>Interpolation!B111</f>
        <v/>
      </c>
      <c r="B111" s="12">
        <f>Interpolation!F111</f>
        <v/>
      </c>
      <c r="C111" s="13">
        <f>(1-($B111/100)*Quotes!$E$2*SUM($C$5:$C110))/(1+($B111/100)*Quotes!$E$2)</f>
        <v/>
      </c>
      <c r="D111" s="11">
        <f>(1/$C111-1)/$A111*100</f>
        <v/>
      </c>
      <c r="E111" s="11">
        <f>($C110/$C111-1)/Quotes!$E$2*100</f>
        <v/>
      </c>
    </row>
    <row r="112">
      <c r="A112" s="7">
        <f>Interpolation!B112</f>
        <v/>
      </c>
      <c r="B112" s="12">
        <f>Interpolation!F112</f>
        <v/>
      </c>
      <c r="C112" s="13">
        <f>(1-($B112/100)*Quotes!$E$2*SUM($C$5:$C111))/(1+($B112/100)*Quotes!$E$2)</f>
        <v/>
      </c>
      <c r="D112" s="11">
        <f>(1/$C112-1)/$A112*100</f>
        <v/>
      </c>
      <c r="E112" s="11">
        <f>($C111/$C112-1)/Quotes!$E$2*100</f>
        <v/>
      </c>
    </row>
    <row r="113">
      <c r="A113" s="7">
        <f>Interpolation!B113</f>
        <v/>
      </c>
      <c r="B113" s="12">
        <f>Interpolation!F113</f>
        <v/>
      </c>
      <c r="C113" s="13">
        <f>(1-($B113/100)*Quotes!$E$2*SUM($C$5:$C112))/(1+($B113/100)*Quotes!$E$2)</f>
        <v/>
      </c>
      <c r="D113" s="11">
        <f>(1/$C113-1)/$A113*100</f>
        <v/>
      </c>
      <c r="E113" s="11">
        <f>($C112/$C113-1)/Quotes!$E$2*100</f>
        <v/>
      </c>
    </row>
    <row r="114">
      <c r="A114" s="7">
        <f>Interpolation!B114</f>
        <v/>
      </c>
      <c r="B114" s="12">
        <f>Interpolation!F114</f>
        <v/>
      </c>
      <c r="C114" s="13">
        <f>(1-($B114/100)*Quotes!$E$2*SUM($C$5:$C113))/(1+($B114/100)*Quotes!$E$2)</f>
        <v/>
      </c>
      <c r="D114" s="11">
        <f>(1/$C114-1)/$A114*100</f>
        <v/>
      </c>
      <c r="E114" s="11">
        <f>($C113/$C114-1)/Quotes!$E$2*100</f>
        <v/>
      </c>
    </row>
    <row r="115">
      <c r="A115" s="7">
        <f>Interpolation!B115</f>
        <v/>
      </c>
      <c r="B115" s="12">
        <f>Interpolation!F115</f>
        <v/>
      </c>
      <c r="C115" s="13">
        <f>(1-($B115/100)*Quotes!$E$2*SUM($C$5:$C114))/(1+($B115/100)*Quotes!$E$2)</f>
        <v/>
      </c>
      <c r="D115" s="11">
        <f>(1/$C115-1)/$A115*100</f>
        <v/>
      </c>
      <c r="E115" s="11">
        <f>($C114/$C115-1)/Quotes!$E$2*100</f>
        <v/>
      </c>
    </row>
    <row r="116">
      <c r="A116" s="7">
        <f>Interpolation!B116</f>
        <v/>
      </c>
      <c r="B116" s="12">
        <f>Interpolation!F116</f>
        <v/>
      </c>
      <c r="C116" s="13">
        <f>(1-($B116/100)*Quotes!$E$2*SUM($C$5:$C115))/(1+($B116/100)*Quotes!$E$2)</f>
        <v/>
      </c>
      <c r="D116" s="11">
        <f>(1/$C116-1)/$A116*100</f>
        <v/>
      </c>
      <c r="E116" s="11">
        <f>($C115/$C116-1)/Quotes!$E$2*100</f>
        <v/>
      </c>
    </row>
    <row r="117">
      <c r="A117" s="7">
        <f>Interpolation!B117</f>
        <v/>
      </c>
      <c r="B117" s="12">
        <f>Interpolation!F117</f>
        <v/>
      </c>
      <c r="C117" s="13">
        <f>(1-($B117/100)*Quotes!$E$2*SUM($C$5:$C116))/(1+($B117/100)*Quotes!$E$2)</f>
        <v/>
      </c>
      <c r="D117" s="11">
        <f>(1/$C117-1)/$A117*100</f>
        <v/>
      </c>
      <c r="E117" s="11">
        <f>($C116/$C117-1)/Quotes!$E$2*100</f>
        <v/>
      </c>
    </row>
    <row r="118">
      <c r="A118" s="7">
        <f>Interpolation!B118</f>
        <v/>
      </c>
      <c r="B118" s="12">
        <f>Interpolation!F118</f>
        <v/>
      </c>
      <c r="C118" s="13">
        <f>(1-($B118/100)*Quotes!$E$2*SUM($C$5:$C117))/(1+($B118/100)*Quotes!$E$2)</f>
        <v/>
      </c>
      <c r="D118" s="11">
        <f>(1/$C118-1)/$A118*100</f>
        <v/>
      </c>
      <c r="E118" s="11">
        <f>($C117/$C118-1)/Quotes!$E$2*100</f>
        <v/>
      </c>
    </row>
    <row r="119">
      <c r="A119" s="7">
        <f>Interpolation!B119</f>
        <v/>
      </c>
      <c r="B119" s="12">
        <f>Interpolation!F119</f>
        <v/>
      </c>
      <c r="C119" s="13">
        <f>(1-($B119/100)*Quotes!$E$2*SUM($C$5:$C118))/(1+($B119/100)*Quotes!$E$2)</f>
        <v/>
      </c>
      <c r="D119" s="11">
        <f>(1/$C119-1)/$A119*100</f>
        <v/>
      </c>
      <c r="E119" s="11">
        <f>($C118/$C119-1)/Quotes!$E$2*100</f>
        <v/>
      </c>
    </row>
    <row r="120">
      <c r="A120" s="7">
        <f>Interpolation!B120</f>
        <v/>
      </c>
      <c r="B120" s="12">
        <f>Interpolation!F120</f>
        <v/>
      </c>
      <c r="C120" s="13">
        <f>(1-($B120/100)*Quotes!$E$2*SUM($C$5:$C119))/(1+($B120/100)*Quotes!$E$2)</f>
        <v/>
      </c>
      <c r="D120" s="11">
        <f>(1/$C120-1)/$A120*100</f>
        <v/>
      </c>
      <c r="E120" s="11">
        <f>($C119/$C120-1)/Quotes!$E$2*100</f>
        <v/>
      </c>
    </row>
    <row r="121">
      <c r="A121" s="7">
        <f>Interpolation!B121</f>
        <v/>
      </c>
      <c r="B121" s="12">
        <f>Interpolation!F121</f>
        <v/>
      </c>
      <c r="C121" s="13">
        <f>(1-($B121/100)*Quotes!$E$2*SUM($C$5:$C120))/(1+($B121/100)*Quotes!$E$2)</f>
        <v/>
      </c>
      <c r="D121" s="11">
        <f>(1/$C121-1)/$A121*100</f>
        <v/>
      </c>
      <c r="E121" s="11">
        <f>($C120/$C121-1)/Quotes!$E$2*100</f>
        <v/>
      </c>
    </row>
    <row r="122">
      <c r="A122" s="7">
        <f>Interpolation!B122</f>
        <v/>
      </c>
      <c r="B122" s="12">
        <f>Interpolation!F122</f>
        <v/>
      </c>
      <c r="C122" s="13">
        <f>(1-($B122/100)*Quotes!$E$2*SUM($C$5:$C121))/(1+($B122/100)*Quotes!$E$2)</f>
        <v/>
      </c>
      <c r="D122" s="11">
        <f>(1/$C122-1)/$A122*100</f>
        <v/>
      </c>
      <c r="E122" s="11">
        <f>($C121/$C122-1)/Quotes!$E$2*100</f>
        <v/>
      </c>
    </row>
    <row r="123">
      <c r="A123" s="7">
        <f>Interpolation!B123</f>
        <v/>
      </c>
      <c r="B123" s="12">
        <f>Interpolation!F123</f>
        <v/>
      </c>
      <c r="C123" s="13">
        <f>(1-($B123/100)*Quotes!$E$2*SUM($C$5:$C122))/(1+($B123/100)*Quotes!$E$2)</f>
        <v/>
      </c>
      <c r="D123" s="11">
        <f>(1/$C123-1)/$A123*100</f>
        <v/>
      </c>
      <c r="E123" s="11">
        <f>($C122/$C123-1)/Quotes!$E$2*100</f>
        <v/>
      </c>
    </row>
    <row r="124">
      <c r="A124" s="7">
        <f>Interpolation!B124</f>
        <v/>
      </c>
      <c r="B124" s="12">
        <f>Interpolation!F124</f>
        <v/>
      </c>
      <c r="C124" s="13">
        <f>(1-($B124/100)*Quotes!$E$2*SUM($C$5:$C123))/(1+($B124/100)*Quotes!$E$2)</f>
        <v/>
      </c>
      <c r="D124" s="11">
        <f>(1/$C124-1)/$A124*100</f>
        <v/>
      </c>
      <c r="E124" s="11">
        <f>($C123/$C124-1)/Quotes!$E$2*100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2026-07-23T04:13:51Z</dcterms:created>
  <dcterms:modified xmlns:dcterms="http://purl.org/dc/terms/" xmlns:xsi="http://www.w3.org/2001/XMLSchema-instance" xsi:type="dcterms:W3CDTF">2026-07-23T04:13:51Z</dcterms:modified>
</cp:coreProperties>
</file>